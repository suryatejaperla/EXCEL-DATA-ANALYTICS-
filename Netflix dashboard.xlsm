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0.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066fc46d4328b3c5/Desktop/RESUME/CRT/"/>
    </mc:Choice>
  </mc:AlternateContent>
  <xr:revisionPtr revIDLastSave="27" documentId="8_{535F19DF-7694-4214-8418-9AAD3F73BD64}" xr6:coauthVersionLast="47" xr6:coauthVersionMax="47" xr10:uidLastSave="{8A4A11A5-EB01-4F68-97D3-DD50229358F2}"/>
  <bookViews>
    <workbookView xWindow="-110" yWindow="-110" windowWidth="19420" windowHeight="10300" tabRatio="806" activeTab="3" xr2:uid="{7144D48B-E0AD-4498-9F92-EDCFD9D4CF53}"/>
  </bookViews>
  <sheets>
    <sheet name="Sheet8" sheetId="8" r:id="rId1"/>
    <sheet name="DATA" sheetId="1" r:id="rId2"/>
    <sheet name="ANALYSIS" sheetId="3" r:id="rId3"/>
    <sheet name="DASHBOARD" sheetId="4" r:id="rId4"/>
    <sheet name="Suggestion1" sheetId="12" r:id="rId5"/>
  </sheets>
  <definedNames>
    <definedName name="Slicer_Year">#N/A</definedName>
  </definedNames>
  <calcPr calcId="191029"/>
  <pivotCaches>
    <pivotCache cacheId="0" r:id="rId6"/>
    <pivotCache cacheId="1" r:id="rId7"/>
    <pivotCache cacheId="2" r:id="rId8"/>
    <pivotCache cacheId="3" r:id="rId9"/>
    <pivotCache cacheId="4"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3" i="3" l="1"/>
  <c r="A23" i="3"/>
  <c r="B14" i="3"/>
</calcChain>
</file>

<file path=xl/sharedStrings.xml><?xml version="1.0" encoding="utf-8"?>
<sst xmlns="http://schemas.openxmlformats.org/spreadsheetml/2006/main" count="141" uniqueCount="53">
  <si>
    <t>Title</t>
  </si>
  <si>
    <t>Type</t>
  </si>
  <si>
    <t>Country of Origin</t>
  </si>
  <si>
    <t>Watch Time (hours)</t>
  </si>
  <si>
    <t>Average Rating</t>
  </si>
  <si>
    <t>"Stranger Things"</t>
  </si>
  <si>
    <t>Series</t>
  </si>
  <si>
    <t>USA</t>
  </si>
  <si>
    <t>"The Crown"</t>
  </si>
  <si>
    <t>UK</t>
  </si>
  <si>
    <t>"Narcos"</t>
  </si>
  <si>
    <t>"Money Heist"</t>
  </si>
  <si>
    <t>Spain</t>
  </si>
  <si>
    <t>"The Witcher"</t>
  </si>
  <si>
    <t>Poland</t>
  </si>
  <si>
    <t>"Bird Box"</t>
  </si>
  <si>
    <t>Movie</t>
  </si>
  <si>
    <t>"The Irishman"</t>
  </si>
  <si>
    <t>"Parasite"</t>
  </si>
  <si>
    <t>South Korea</t>
  </si>
  <si>
    <t>"The Trial of the Chicago 7"</t>
  </si>
  <si>
    <t>"Extraction"</t>
  </si>
  <si>
    <t>Countries:</t>
  </si>
  <si>
    <t>Country</t>
  </si>
  <si>
    <t>Total Watch Time (hours)</t>
  </si>
  <si>
    <t>This single dataset includes both series and movies, their respective countries of origin, watch time in hours, and average ratings. You can use this dataset as the basis for your Excel dashboard to analyze Netflix content, viewer preferences, and country-wise viewership. Remember to tailor this dataset to your specific needs and update it with real data if available.</t>
  </si>
  <si>
    <t>Year</t>
  </si>
  <si>
    <t>Total Hours Watched</t>
  </si>
  <si>
    <t>Number of Series Watched</t>
  </si>
  <si>
    <t>Number of Movies Watched</t>
  </si>
  <si>
    <t>Average Series Rating</t>
  </si>
  <si>
    <t>Average Movie Rating</t>
  </si>
  <si>
    <t>Number of Subscribers</t>
  </si>
  <si>
    <t>Row Labels</t>
  </si>
  <si>
    <t>Grand Total</t>
  </si>
  <si>
    <t>Sum of Watch Time (hours)</t>
  </si>
  <si>
    <t>TITLE</t>
  </si>
  <si>
    <t>HIGHEST RATING</t>
  </si>
  <si>
    <t>Sum of Total Watch Time (hours)</t>
  </si>
  <si>
    <t>COUNTRY</t>
  </si>
  <si>
    <t>Max of Watch Time (hours)</t>
  </si>
  <si>
    <t>MAX WATCHED SERIES</t>
  </si>
  <si>
    <t>MAX WATCHED MOVIE</t>
  </si>
  <si>
    <t>Sum of Number of Series Watched</t>
  </si>
  <si>
    <t>Sum of Number of Subscribers</t>
  </si>
  <si>
    <t>Sum of Number of Movies Watched</t>
  </si>
  <si>
    <t>Sum of Average Movie Rating</t>
  </si>
  <si>
    <t>Sum of Average Series Rating</t>
  </si>
  <si>
    <t>Top 'Country of Origin' by average 'Watch Time (hours)'</t>
  </si>
  <si>
    <t>Most Watched Time (hours)</t>
  </si>
  <si>
    <t xml:space="preserve">Country </t>
  </si>
  <si>
    <t>YEAR</t>
  </si>
  <si>
    <t>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</si>
</sst>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sz val="14"/>
      <color rgb="FFFFFFFF"/>
      <name val="Segoe UI"/>
      <family val="2"/>
    </font>
    <font>
      <sz val="9.6"/>
      <color theme="1"/>
      <name val="Segoe UI"/>
      <family val="2"/>
    </font>
    <font>
      <sz val="9.6"/>
      <color theme="1"/>
      <name val="Segoe UI"/>
      <family val="2"/>
    </font>
    <font>
      <sz val="14"/>
      <color rgb="FFFFFFFF"/>
      <name val="Segoe UI"/>
      <family val="2"/>
    </font>
    <font>
      <sz val="9.6"/>
      <color rgb="FFD1D5DB"/>
      <name val="Segoe UI"/>
      <family val="2"/>
    </font>
    <font>
      <sz val="9.6"/>
      <color rgb="FFD1D5DB"/>
      <name val="Segoe UI"/>
      <family val="2"/>
    </font>
    <font>
      <b/>
      <i/>
      <sz val="11"/>
      <color rgb="FF000000"/>
      <name val="Calibri"/>
      <family val="2"/>
      <scheme val="minor"/>
    </font>
  </fonts>
  <fills count="3">
    <fill>
      <patternFill patternType="none"/>
    </fill>
    <fill>
      <patternFill patternType="gray125"/>
    </fill>
    <fill>
      <patternFill patternType="solid">
        <fgColor rgb="FF444654"/>
        <bgColor indexed="64"/>
      </patternFill>
    </fill>
  </fills>
  <borders count="6">
    <border>
      <left/>
      <right/>
      <top/>
      <bottom/>
      <diagonal/>
    </border>
    <border>
      <left style="medium">
        <color rgb="FFD9D9E3"/>
      </left>
      <right/>
      <top style="medium">
        <color rgb="FFD9D9E3"/>
      </top>
      <bottom style="medium">
        <color rgb="FFD9D9E3"/>
      </bottom>
      <diagonal/>
    </border>
    <border>
      <left style="medium">
        <color rgb="FFD9D9E3"/>
      </left>
      <right style="medium">
        <color rgb="FFD9D9E3"/>
      </right>
      <top style="medium">
        <color rgb="FFD9D9E3"/>
      </top>
      <bottom style="medium">
        <color rgb="FFD9D9E3"/>
      </bottom>
      <diagonal/>
    </border>
    <border>
      <left style="medium">
        <color rgb="FFD9D9E3"/>
      </left>
      <right/>
      <top/>
      <bottom style="medium">
        <color rgb="FFD9D9E3"/>
      </bottom>
      <diagonal/>
    </border>
    <border>
      <left style="medium">
        <color rgb="FFD9D9E3"/>
      </left>
      <right style="medium">
        <color rgb="FFD9D9E3"/>
      </right>
      <top/>
      <bottom style="medium">
        <color rgb="FFD9D9E3"/>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4" fillId="0" borderId="3" xfId="0" applyFont="1" applyBorder="1" applyAlignment="1">
      <alignment vertical="center" wrapText="1"/>
    </xf>
    <xf numFmtId="3" fontId="0" fillId="0" borderId="0" xfId="0" applyNumberFormat="1"/>
    <xf numFmtId="3" fontId="4" fillId="0" borderId="3" xfId="0" applyNumberFormat="1" applyFont="1" applyBorder="1" applyAlignment="1">
      <alignment vertical="center" wrapText="1"/>
    </xf>
    <xf numFmtId="0" fontId="4" fillId="0" borderId="4" xfId="0" applyFont="1" applyBorder="1" applyAlignment="1">
      <alignment vertical="center" wrapText="1"/>
    </xf>
    <xf numFmtId="0" fontId="0" fillId="0" borderId="0" xfId="0" applyAlignment="1">
      <alignment vertical="center" wrapText="1"/>
    </xf>
    <xf numFmtId="0" fontId="5" fillId="0" borderId="0" xfId="0" applyFont="1" applyAlignment="1">
      <alignment vertical="center" wrapText="1"/>
    </xf>
    <xf numFmtId="3" fontId="4" fillId="0" borderId="4" xfId="0" applyNumberFormat="1" applyFont="1" applyBorder="1" applyAlignment="1">
      <alignment vertical="center" wrapText="1"/>
    </xf>
    <xf numFmtId="0" fontId="2" fillId="0" borderId="0" xfId="0" applyFont="1" applyAlignment="1">
      <alignment vertical="center" wrapText="1"/>
    </xf>
    <xf numFmtId="0" fontId="6" fillId="2" borderId="1" xfId="0" applyFont="1" applyFill="1" applyBorder="1" applyAlignment="1">
      <alignment horizontal="center" wrapText="1"/>
    </xf>
    <xf numFmtId="0" fontId="6" fillId="2" borderId="2" xfId="0" applyFont="1" applyFill="1" applyBorder="1" applyAlignment="1">
      <alignment horizontal="center" wrapText="1"/>
    </xf>
    <xf numFmtId="0" fontId="7" fillId="2" borderId="3" xfId="0" applyFont="1" applyFill="1" applyBorder="1" applyAlignment="1">
      <alignment vertical="center" wrapText="1"/>
    </xf>
    <xf numFmtId="3" fontId="7" fillId="2" borderId="3" xfId="0" applyNumberFormat="1" applyFont="1" applyFill="1" applyBorder="1" applyAlignment="1">
      <alignment vertical="center" wrapText="1"/>
    </xf>
    <xf numFmtId="3" fontId="7" fillId="2" borderId="4" xfId="0" applyNumberFormat="1" applyFont="1" applyFill="1" applyBorder="1" applyAlignment="1">
      <alignment vertical="center" wrapText="1"/>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7" fillId="2" borderId="4" xfId="0" applyFont="1" applyFill="1" applyBorder="1" applyAlignment="1">
      <alignment vertical="center" wrapText="1"/>
    </xf>
    <xf numFmtId="0" fontId="0" fillId="0" borderId="0" xfId="0" pivotButton="1"/>
    <xf numFmtId="0" fontId="0" fillId="0" borderId="0" xfId="0" applyAlignment="1">
      <alignment horizontal="left"/>
    </xf>
    <xf numFmtId="0" fontId="1" fillId="0" borderId="5" xfId="0" applyFont="1" applyBorder="1"/>
    <xf numFmtId="0" fontId="1" fillId="0" borderId="0" xfId="0" applyFont="1" applyAlignment="1">
      <alignment horizontal="left"/>
    </xf>
    <xf numFmtId="0" fontId="1" fillId="0" borderId="0" xfId="0" applyFont="1"/>
    <xf numFmtId="0" fontId="8" fillId="0" borderId="0" xfId="0" applyFont="1" applyAlignment="1">
      <alignment horizontal="left" vertical="center"/>
    </xf>
    <xf numFmtId="0" fontId="0" fillId="0" borderId="0" xfId="0" applyNumberFormat="1"/>
  </cellXfs>
  <cellStyles count="1">
    <cellStyle name="Normal" xfId="0" builtinId="0"/>
  </cellStyles>
  <dxfs count="2">
    <dxf>
      <font>
        <sz val="14"/>
        <color theme="0" tint="-0.24994659260841701"/>
        <name val="Bahnschrift Condensed"/>
        <family val="2"/>
        <scheme val="none"/>
      </font>
      <fill>
        <gradientFill degree="90">
          <stop position="0">
            <color rgb="FFFF0000"/>
          </stop>
          <stop position="1">
            <color theme="1" tint="0.1490218817712943"/>
          </stop>
        </gradientFill>
      </fill>
      <border diagonalUp="0" diagonalDown="0">
        <left style="thin">
          <color auto="1"/>
        </left>
        <right style="thin">
          <color auto="1"/>
        </right>
        <top style="thin">
          <color auto="1"/>
        </top>
        <bottom style="thin">
          <color auto="1"/>
        </bottom>
        <vertical/>
        <horizontal/>
      </border>
    </dxf>
    <dxf>
      <font>
        <sz val="14"/>
        <color theme="1" tint="4.9989318521683403E-2"/>
        <name val="Bahnschrift Condensed"/>
        <family val="2"/>
        <scheme val="none"/>
      </font>
      <fill>
        <patternFill>
          <bgColor theme="0" tint="-0.34998626667073579"/>
        </patternFill>
      </fill>
      <border diagonalUp="0" diagonalDown="0">
        <left style="thin">
          <color auto="1"/>
        </left>
        <right style="thin">
          <color auto="1"/>
        </right>
        <top style="thin">
          <color auto="1"/>
        </top>
        <bottom style="thin">
          <color auto="1"/>
        </bottom>
        <vertical/>
        <horizontal/>
      </border>
    </dxf>
  </dxfs>
  <tableStyles count="2" defaultTableStyle="TableStyleMedium2" defaultPivotStyle="PivotStyleLight16">
    <tableStyle name="Slicer Style 1" pivot="0" table="0" count="1" xr9:uid="{4BD8CF0F-BBDC-4C41-9FD8-9F73D228DFC8}">
      <tableStyleElement type="wholeTable" dxfId="1"/>
    </tableStyle>
    <tableStyle name="Slicer Style 1 2" pivot="0" table="0" count="1" xr9:uid="{D22174D6-F2AB-4BC2-B48D-05A798E8F41F}">
      <tableStyleElement type="wholeTable" dxfId="0"/>
    </tableStyle>
  </tableStyles>
  <colors>
    <mruColors>
      <color rgb="FFCC0000"/>
      <color rgb="FFCC3300"/>
    </mruColors>
  </colors>
  <extLst>
    <ext xmlns:x14="http://schemas.microsoft.com/office/spreadsheetml/2009/9/main" uri="{EB79DEF2-80B8-43e5-95BD-54CBDDF9020C}">
      <x14:slicerStyles defaultSlicerStyle="SlicerStyleLight1">
        <x14:slicerStyle name="Slicer Style 1"/>
        <x14:slicerStyle name="Slicer Style 1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5.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dashboard.xlsm]Sheet8!PivotTable12</c:name>
    <c:fmtId val="3"/>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b="1"/>
              <a:t>TOTAL SUBSCRIBERS</a:t>
            </a:r>
          </a:p>
        </c:rich>
      </c:tx>
      <c:layout>
        <c:manualLayout>
          <c:xMode val="edge"/>
          <c:yMode val="edge"/>
          <c:x val="0.36117123014092489"/>
          <c:y val="1.10802993666596E-2"/>
        </c:manualLayout>
      </c:layout>
      <c:overlay val="0"/>
      <c:spPr>
        <a:noFill/>
        <a:ln>
          <a:solidFill>
            <a:srgbClr val="C00000"/>
          </a:solid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alpha val="96000"/>
            </a:srgbClr>
          </a:solidFill>
          <a:ln>
            <a:solidFill>
              <a:schemeClr val="tx1">
                <a:lumMod val="95000"/>
                <a:lumOff val="5000"/>
              </a:schemeClr>
            </a:solidFill>
          </a:ln>
          <a:effectLst/>
          <a:sp3d>
            <a:contourClr>
              <a:schemeClr val="tx1">
                <a:lumMod val="95000"/>
                <a:lumOff val="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schemeClr>
        </a:solidFill>
        <a:ln>
          <a:solidFill>
            <a:schemeClr val="bg1"/>
          </a:solidFill>
        </a:ln>
        <a:effectLst/>
        <a:sp3d>
          <a:contourClr>
            <a:schemeClr val="bg1"/>
          </a:contourClr>
        </a:sp3d>
      </c:spPr>
    </c:floor>
    <c:sideWall>
      <c:thickness val="0"/>
      <c:spPr>
        <a:solidFill>
          <a:schemeClr val="bg2">
            <a:lumMod val="50000"/>
          </a:schemeClr>
        </a:solidFill>
        <a:ln>
          <a:noFill/>
        </a:ln>
        <a:effectLst/>
        <a:sp3d/>
      </c:spPr>
    </c:sideWall>
    <c:backWall>
      <c:thickness val="0"/>
      <c:spPr>
        <a:solidFill>
          <a:schemeClr val="bg2">
            <a:lumMod val="50000"/>
          </a:schemeClr>
        </a:solidFill>
        <a:ln>
          <a:noFill/>
        </a:ln>
        <a:effectLst/>
        <a:sp3d/>
      </c:spPr>
    </c:backWall>
    <c:plotArea>
      <c:layout>
        <c:manualLayout>
          <c:layoutTarget val="inner"/>
          <c:xMode val="edge"/>
          <c:yMode val="edge"/>
          <c:x val="9.3746013992591318E-2"/>
          <c:y val="0.10225179777993552"/>
          <c:w val="0.91630001390069271"/>
          <c:h val="0.80704764858519362"/>
        </c:manualLayout>
      </c:layout>
      <c:bar3DChart>
        <c:barDir val="col"/>
        <c:grouping val="percentStacked"/>
        <c:varyColors val="0"/>
        <c:ser>
          <c:idx val="0"/>
          <c:order val="0"/>
          <c:tx>
            <c:strRef>
              <c:f>Sheet8!$B$3</c:f>
              <c:strCache>
                <c:ptCount val="1"/>
                <c:pt idx="0">
                  <c:v>Total</c:v>
                </c:pt>
              </c:strCache>
            </c:strRef>
          </c:tx>
          <c:spPr>
            <a:solidFill>
              <a:srgbClr val="C00000">
                <a:alpha val="96000"/>
              </a:srgbClr>
            </a:solidFill>
            <a:ln>
              <a:solidFill>
                <a:schemeClr val="tx1">
                  <a:lumMod val="95000"/>
                  <a:lumOff val="5000"/>
                </a:schemeClr>
              </a:solidFill>
            </a:ln>
            <a:effectLst/>
            <a:sp3d>
              <a:contourClr>
                <a:schemeClr val="tx1">
                  <a:lumMod val="95000"/>
                  <a:lumOff val="5000"/>
                </a:schemeClr>
              </a:contourClr>
            </a:sp3d>
          </c:spPr>
          <c:invertIfNegative val="0"/>
          <c:cat>
            <c:strRef>
              <c:f>Sheet8!$A$4:$A$5</c:f>
              <c:strCache>
                <c:ptCount val="2"/>
                <c:pt idx="0">
                  <c:v>2018</c:v>
                </c:pt>
                <c:pt idx="1">
                  <c:v>2020</c:v>
                </c:pt>
              </c:strCache>
            </c:strRef>
          </c:cat>
          <c:val>
            <c:numRef>
              <c:f>Sheet8!$B$4:$B$5</c:f>
              <c:numCache>
                <c:formatCode>General</c:formatCode>
                <c:ptCount val="2"/>
                <c:pt idx="0">
                  <c:v>180000000</c:v>
                </c:pt>
                <c:pt idx="1">
                  <c:v>200000000</c:v>
                </c:pt>
              </c:numCache>
            </c:numRef>
          </c:val>
          <c:extLst>
            <c:ext xmlns:c16="http://schemas.microsoft.com/office/drawing/2014/chart" uri="{C3380CC4-5D6E-409C-BE32-E72D297353CC}">
              <c16:uniqueId val="{00000000-8886-4493-85DB-6E9A64D2C103}"/>
            </c:ext>
          </c:extLst>
        </c:ser>
        <c:dLbls>
          <c:showLegendKey val="0"/>
          <c:showVal val="0"/>
          <c:showCatName val="0"/>
          <c:showSerName val="0"/>
          <c:showPercent val="0"/>
          <c:showBubbleSize val="0"/>
        </c:dLbls>
        <c:gapWidth val="150"/>
        <c:shape val="box"/>
        <c:axId val="1392091120"/>
        <c:axId val="107628848"/>
        <c:axId val="0"/>
      </c:bar3DChart>
      <c:catAx>
        <c:axId val="13920911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95000"/>
                    <a:lumOff val="5000"/>
                  </a:schemeClr>
                </a:solidFill>
                <a:latin typeface="+mn-lt"/>
                <a:ea typeface="+mn-ea"/>
                <a:cs typeface="+mn-cs"/>
              </a:defRPr>
            </a:pPr>
            <a:endParaRPr lang="en-US"/>
          </a:p>
        </c:txPr>
        <c:crossAx val="107628848"/>
        <c:crosses val="autoZero"/>
        <c:auto val="1"/>
        <c:lblAlgn val="ctr"/>
        <c:lblOffset val="100"/>
        <c:noMultiLvlLbl val="0"/>
      </c:catAx>
      <c:valAx>
        <c:axId val="1076288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solidFill>
            <a:srgbClr val="C00000">
              <a:alpha val="96000"/>
            </a:srgbClr>
          </a:solidFill>
          <a:ln>
            <a:solidFill>
              <a:srgbClr val="C00000"/>
            </a:solidFill>
          </a:ln>
          <a:effectLst>
            <a:outerShdw blurRad="50800" dist="50800" dir="5400000" sx="8000" sy="8000" algn="ctr" rotWithShape="0">
              <a:srgbClr val="000000">
                <a:alpha val="43137"/>
              </a:srgbClr>
            </a:outerShdw>
            <a:softEdge rad="114300"/>
          </a:effectLst>
        </c:spPr>
        <c:txPr>
          <a:bodyPr rot="-60000000" spcFirstLastPara="1" vertOverflow="ellipsis" vert="horz" wrap="square" anchor="ctr" anchorCtr="1"/>
          <a:lstStyle/>
          <a:p>
            <a:pPr>
              <a:defRPr sz="1000" b="1" i="0" u="none" strike="noStrike" kern="1200" baseline="0">
                <a:solidFill>
                  <a:schemeClr val="tx1">
                    <a:lumMod val="95000"/>
                    <a:lumOff val="5000"/>
                  </a:schemeClr>
                </a:solidFill>
                <a:latin typeface="+mn-lt"/>
                <a:ea typeface="+mn-ea"/>
                <a:cs typeface="+mn-cs"/>
              </a:defRPr>
            </a:pPr>
            <a:endParaRPr lang="en-US"/>
          </a:p>
        </c:txPr>
        <c:crossAx val="1392091120"/>
        <c:crosses val="autoZero"/>
        <c:crossBetween val="between"/>
      </c:valAx>
      <c:spPr>
        <a:noFill/>
        <a:ln>
          <a:noFill/>
        </a:ln>
        <a:effectLst>
          <a:outerShdw blurRad="50800" dir="5400000" algn="ctr" rotWithShape="0">
            <a:srgbClr val="C00000"/>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00000"/>
    </a:solidFill>
    <a:ln w="9525" cap="flat" cmpd="sng" algn="ctr">
      <a:noFill/>
      <a:round/>
    </a:ln>
    <a:effectLst/>
  </c:spPr>
  <c:txPr>
    <a:bodyPr/>
    <a:lstStyle/>
    <a:p>
      <a:pPr>
        <a:defRPr>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[Netflix dashboard.xlsm]Sheet8!PivotTable18</c:name>
    <c:fmtId val="5"/>
  </c:pivotSource>
  <c:chart>
    <c:title>
      <c:tx>
        <c:rich>
          <a:bodyPr rot="0" spcFirstLastPara="1" vertOverflow="ellipsis" vert="horz" wrap="square" anchor="ctr" anchorCtr="1"/>
          <a:lstStyle/>
          <a:p>
            <a:pPr algn="ctr">
              <a:defRPr sz="2000" b="0" i="0" u="none" strike="noStrike" kern="1200" spc="0" baseline="0">
                <a:solidFill>
                  <a:schemeClr val="tx1">
                    <a:lumMod val="95000"/>
                    <a:lumOff val="5000"/>
                  </a:schemeClr>
                </a:solidFill>
                <a:latin typeface="+mn-lt"/>
                <a:ea typeface="+mn-ea"/>
                <a:cs typeface="+mn-cs"/>
              </a:defRPr>
            </a:pPr>
            <a:r>
              <a:rPr lang="en-US" sz="2000" b="1">
                <a:solidFill>
                  <a:schemeClr val="tx1">
                    <a:lumMod val="95000"/>
                    <a:lumOff val="5000"/>
                  </a:schemeClr>
                </a:solidFill>
              </a:rPr>
              <a:t>TOTAL HOURS</a:t>
            </a:r>
          </a:p>
        </c:rich>
      </c:tx>
      <c:layout>
        <c:manualLayout>
          <c:xMode val="edge"/>
          <c:yMode val="edge"/>
          <c:x val="0.32884917491449484"/>
          <c:y val="5.2707694076559904E-2"/>
        </c:manualLayout>
      </c:layout>
      <c:overlay val="0"/>
      <c:spPr>
        <a:solidFill>
          <a:srgbClr val="C00000"/>
        </a:solidFill>
        <a:ln>
          <a:solidFill>
            <a:srgbClr val="C00000"/>
          </a:solidFill>
        </a:ln>
        <a:effectLst/>
      </c:spPr>
      <c:txPr>
        <a:bodyPr rot="0" spcFirstLastPara="1" vertOverflow="ellipsis" vert="horz" wrap="square" anchor="ctr" anchorCtr="1"/>
        <a:lstStyle/>
        <a:p>
          <a:pPr algn="ctr">
            <a:defRPr sz="20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3"/>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a:sp3d contourW="25400">
            <a:contourClr>
              <a:schemeClr val="lt1"/>
            </a:contourClr>
          </a:sp3d>
        </c:spPr>
      </c:pivotFmt>
      <c:pivotFmt>
        <c:idx val="3"/>
        <c:spPr>
          <a:solidFill>
            <a:schemeClr val="accent3"/>
          </a:solidFill>
          <a:ln w="19050">
            <a:solidFill>
              <a:schemeClr val="lt1"/>
            </a:solidFill>
          </a:ln>
          <a:effectLst/>
          <a:sp3d contourW="25400">
            <a:contourClr>
              <a:schemeClr val="lt1"/>
            </a:contourClr>
          </a:sp3d>
        </c:spPr>
      </c:pivotFmt>
      <c:pivotFmt>
        <c:idx val="4"/>
        <c:spPr>
          <a:solidFill>
            <a:schemeClr val="accent3"/>
          </a:solidFill>
          <a:ln w="19050">
            <a:solidFill>
              <a:schemeClr val="lt1"/>
            </a:solidFill>
          </a:ln>
          <a:effectLst/>
          <a:sp3d contourW="25400">
            <a:contourClr>
              <a:schemeClr val="lt1"/>
            </a:contourClr>
          </a:sp3d>
        </c:spPr>
      </c:pivotFmt>
      <c:pivotFmt>
        <c:idx val="5"/>
        <c:spPr>
          <a:solidFill>
            <a:schemeClr val="accent3"/>
          </a:solidFill>
          <a:ln w="19050">
            <a:solidFill>
              <a:schemeClr val="lt1"/>
            </a:solidFill>
          </a:ln>
          <a:effectLst/>
          <a:sp3d contourW="25400">
            <a:contourClr>
              <a:schemeClr val="lt1"/>
            </a:contourClr>
          </a:sp3d>
        </c:spPr>
      </c:pivotFmt>
      <c:pivotFmt>
        <c:idx val="6"/>
        <c:spPr>
          <a:solidFill>
            <a:schemeClr val="accent3"/>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hade val="58000"/>
            </a:schemeClr>
          </a:solidFill>
          <a:ln w="25400">
            <a:solidFill>
              <a:schemeClr val="lt1"/>
            </a:solidFill>
          </a:ln>
          <a:effectLst/>
          <a:sp3d contourW="25400">
            <a:contourClr>
              <a:schemeClr val="lt1"/>
            </a:contourClr>
          </a:sp3d>
        </c:spPr>
      </c:pivotFmt>
      <c:pivotFmt>
        <c:idx val="8"/>
        <c:spPr>
          <a:solidFill>
            <a:schemeClr val="accent3">
              <a:tint val="77000"/>
            </a:schemeClr>
          </a:solidFill>
          <a:ln w="25400">
            <a:solidFill>
              <a:schemeClr val="lt1"/>
            </a:solidFill>
          </a:ln>
          <a:effectLst/>
          <a:sp3d contourW="25400">
            <a:contourClr>
              <a:schemeClr val="lt1"/>
            </a:contourClr>
          </a:sp3d>
        </c:spPr>
      </c:pivotFmt>
      <c:pivotFmt>
        <c:idx val="9"/>
        <c:spPr>
          <a:solidFill>
            <a:schemeClr val="accent3">
              <a:shade val="86000"/>
            </a:schemeClr>
          </a:solidFill>
          <a:ln w="25400">
            <a:solidFill>
              <a:schemeClr val="lt1"/>
            </a:solidFill>
          </a:ln>
          <a:effectLst/>
          <a:sp3d contourW="25400">
            <a:contourClr>
              <a:schemeClr val="lt1"/>
            </a:contourClr>
          </a:sp3d>
        </c:spPr>
      </c:pivotFmt>
      <c:pivotFmt>
        <c:idx val="10"/>
      </c:pivotFmt>
      <c:pivotFmt>
        <c:idx val="11"/>
        <c:spPr>
          <a:solidFill>
            <a:schemeClr val="accent3">
              <a:tint val="86000"/>
            </a:schemeClr>
          </a:solidFill>
          <a:ln w="25400">
            <a:solidFill>
              <a:schemeClr val="lt1"/>
            </a:solidFill>
          </a:ln>
          <a:effectLst/>
          <a:sp3d contourW="25400">
            <a:contourClr>
              <a:schemeClr val="lt1"/>
            </a:contourClr>
          </a:sp3d>
        </c:spPr>
      </c:pivotFmt>
      <c:pivotFmt>
        <c:idx val="12"/>
        <c:spPr>
          <a:solidFill>
            <a:schemeClr val="accent3">
              <a:tint val="58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Sheet8!$B$19</c:f>
              <c:strCache>
                <c:ptCount val="1"/>
                <c:pt idx="0">
                  <c:v>Total</c:v>
                </c:pt>
              </c:strCache>
            </c:strRef>
          </c:tx>
          <c:dPt>
            <c:idx val="0"/>
            <c:bubble3D val="0"/>
            <c:spPr>
              <a:solidFill>
                <a:schemeClr val="accent3">
                  <a:shade val="7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7D3F-49F5-9592-6564D8D0731B}"/>
              </c:ext>
            </c:extLst>
          </c:dPt>
          <c:dPt>
            <c:idx val="1"/>
            <c:bubble3D val="0"/>
            <c:spPr>
              <a:solidFill>
                <a:schemeClr val="accent3">
                  <a:tint val="7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7D3F-49F5-9592-6564D8D0731B}"/>
              </c:ext>
            </c:extLst>
          </c:dPt>
          <c:dPt>
            <c:idx val="2"/>
            <c:bubble3D val="0"/>
            <c:spPr>
              <a:solidFill>
                <a:schemeClr val="accent3">
                  <a:tint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5-7D3F-49F5-9592-6564D8D0731B}"/>
              </c:ext>
            </c:extLst>
          </c:dPt>
          <c:dPt>
            <c:idx val="3"/>
            <c:bubble3D val="0"/>
            <c:spPr>
              <a:solidFill>
                <a:schemeClr val="accent3">
                  <a:tint val="84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7D3F-49F5-9592-6564D8D0731B}"/>
              </c:ext>
            </c:extLst>
          </c:dPt>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Sheet8!$A$20:$A$21</c:f>
              <c:strCache>
                <c:ptCount val="2"/>
                <c:pt idx="0">
                  <c:v>2018</c:v>
                </c:pt>
                <c:pt idx="1">
                  <c:v>2020</c:v>
                </c:pt>
              </c:strCache>
            </c:strRef>
          </c:cat>
          <c:val>
            <c:numRef>
              <c:f>Sheet8!$B$20:$B$21</c:f>
              <c:numCache>
                <c:formatCode>General</c:formatCode>
                <c:ptCount val="2"/>
                <c:pt idx="0">
                  <c:v>4500000</c:v>
                </c:pt>
                <c:pt idx="1">
                  <c:v>5000000</c:v>
                </c:pt>
              </c:numCache>
            </c:numRef>
          </c:val>
          <c:extLst>
            <c:ext xmlns:c16="http://schemas.microsoft.com/office/drawing/2014/chart" uri="{C3380CC4-5D6E-409C-BE32-E72D297353CC}">
              <c16:uniqueId val="{00000008-7D3F-49F5-9592-6564D8D0731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solidFill>
            <a:srgbClr val="C00000"/>
          </a:solidFill>
        </a:ln>
        <a:effectLst/>
      </c:spPr>
      <c:txPr>
        <a:bodyPr rot="0" spcFirstLastPara="1" vertOverflow="ellipsis" vert="horz" wrap="square" anchor="ctr" anchorCtr="1"/>
        <a:lstStyle/>
        <a:p>
          <a:pPr>
            <a:defRPr sz="1400" b="1" i="0" u="none" strike="noStrike" kern="1200" baseline="0">
              <a:solidFill>
                <a:schemeClr val="tx1">
                  <a:lumMod val="95000"/>
                  <a:lumOff val="5000"/>
                </a:schemeClr>
              </a:solidFill>
              <a:effectLst>
                <a:outerShdw blurRad="63500" sx="102000" sy="102000" algn="ctr" rotWithShape="0">
                  <a:prstClr val="black">
                    <a:alpha val="40000"/>
                  </a:prst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C00000"/>
    </a:solidFill>
    <a:ln w="9525"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dashboard.xlsm]ANALYSIS!PivotTable1</c:name>
    <c:fmtId val="3"/>
  </c:pivotSource>
  <c:chart>
    <c:title>
      <c:tx>
        <c:rich>
          <a:bodyPr rot="0" spcFirstLastPara="1" vertOverflow="ellipsis" vert="horz" wrap="square" anchor="ctr" anchorCtr="1"/>
          <a:lstStyle/>
          <a:p>
            <a:pPr algn="ctr">
              <a:defRPr sz="2000" b="0" i="0" u="none" strike="noStrike" kern="1200" spc="0" baseline="0">
                <a:solidFill>
                  <a:schemeClr val="tx1">
                    <a:lumMod val="65000"/>
                    <a:lumOff val="35000"/>
                  </a:schemeClr>
                </a:solidFill>
                <a:latin typeface="+mn-lt"/>
                <a:ea typeface="+mn-ea"/>
                <a:cs typeface="+mn-cs"/>
              </a:defRPr>
            </a:pPr>
            <a:r>
              <a:rPr lang="en-US" sz="2000" b="1">
                <a:solidFill>
                  <a:schemeClr val="tx1"/>
                </a:solidFill>
              </a:rPr>
              <a:t>NO</a:t>
            </a:r>
            <a:r>
              <a:rPr lang="en-US" sz="2000" b="1" baseline="0">
                <a:solidFill>
                  <a:schemeClr val="tx1"/>
                </a:solidFill>
              </a:rPr>
              <a:t> OF HOURS</a:t>
            </a:r>
            <a:endParaRPr lang="en-US" sz="2000" b="1">
              <a:solidFill>
                <a:schemeClr val="tx1"/>
              </a:solidFill>
            </a:endParaRPr>
          </a:p>
        </c:rich>
      </c:tx>
      <c:layout>
        <c:manualLayout>
          <c:xMode val="edge"/>
          <c:yMode val="edge"/>
          <c:x val="0.36555927700465241"/>
          <c:y val="2.4484612846013668E-2"/>
        </c:manualLayout>
      </c:layout>
      <c:overlay val="0"/>
      <c:spPr>
        <a:noFill/>
        <a:ln>
          <a:noFill/>
        </a:ln>
        <a:effectLst/>
      </c:spPr>
      <c:txPr>
        <a:bodyPr rot="0" spcFirstLastPara="1" vertOverflow="ellipsis" vert="horz" wrap="square" anchor="ctr" anchorCtr="1"/>
        <a:lstStyle/>
        <a:p>
          <a:pPr algn="ct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sq">
            <a:solidFill>
              <a:schemeClr val="tx1">
                <a:lumMod val="95000"/>
                <a:lumOff val="5000"/>
              </a:schemeClr>
            </a:solidFill>
            <a:round/>
          </a:ln>
          <a:effectLst/>
        </c:spPr>
        <c:marker>
          <c:symbol val="circle"/>
          <c:size val="5"/>
          <c:spPr>
            <a:solidFill>
              <a:schemeClr val="tx1"/>
            </a:solidFill>
            <a:ln w="9525">
              <a:solidFill>
                <a:schemeClr val="tx1">
                  <a:lumMod val="95000"/>
                  <a:lumOff val="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ANALYSIS!$B$3</c:f>
              <c:strCache>
                <c:ptCount val="1"/>
                <c:pt idx="0">
                  <c:v>Total</c:v>
                </c:pt>
              </c:strCache>
            </c:strRef>
          </c:tx>
          <c:spPr>
            <a:ln w="28575" cap="sq">
              <a:solidFill>
                <a:schemeClr val="tx1">
                  <a:lumMod val="95000"/>
                  <a:lumOff val="5000"/>
                </a:schemeClr>
              </a:solidFill>
              <a:round/>
            </a:ln>
            <a:effectLst/>
          </c:spPr>
          <c:marker>
            <c:symbol val="circle"/>
            <c:size val="5"/>
            <c:spPr>
              <a:solidFill>
                <a:schemeClr val="tx1"/>
              </a:solidFill>
              <a:ln w="9525">
                <a:solidFill>
                  <a:schemeClr val="tx1">
                    <a:lumMod val="95000"/>
                    <a:lumOff val="5000"/>
                  </a:schemeClr>
                </a:solidFill>
              </a:ln>
              <a:effectLst/>
            </c:spPr>
          </c:marker>
          <c:cat>
            <c:strRef>
              <c:f>ANALYSIS!$A$4:$A$13</c:f>
              <c:strCache>
                <c:ptCount val="10"/>
                <c:pt idx="0">
                  <c:v>"Bird Box"</c:v>
                </c:pt>
                <c:pt idx="1">
                  <c:v>"Extraction"</c:v>
                </c:pt>
                <c:pt idx="2">
                  <c:v>"Money Heist"</c:v>
                </c:pt>
                <c:pt idx="3">
                  <c:v>"Narcos"</c:v>
                </c:pt>
                <c:pt idx="4">
                  <c:v>"Parasite"</c:v>
                </c:pt>
                <c:pt idx="5">
                  <c:v>"Stranger Things"</c:v>
                </c:pt>
                <c:pt idx="6">
                  <c:v>"The Crown"</c:v>
                </c:pt>
                <c:pt idx="7">
                  <c:v>"The Irishman"</c:v>
                </c:pt>
                <c:pt idx="8">
                  <c:v>"The Trial of the Chicago 7"</c:v>
                </c:pt>
                <c:pt idx="9">
                  <c:v>"The Witcher"</c:v>
                </c:pt>
              </c:strCache>
            </c:strRef>
          </c:cat>
          <c:val>
            <c:numRef>
              <c:f>ANALYSIS!$B$4:$B$13</c:f>
              <c:numCache>
                <c:formatCode>General</c:formatCode>
                <c:ptCount val="10"/>
                <c:pt idx="0">
                  <c:v>150000</c:v>
                </c:pt>
                <c:pt idx="1">
                  <c:v>120000</c:v>
                </c:pt>
                <c:pt idx="2">
                  <c:v>400000</c:v>
                </c:pt>
                <c:pt idx="3">
                  <c:v>250000</c:v>
                </c:pt>
                <c:pt idx="4">
                  <c:v>100000</c:v>
                </c:pt>
                <c:pt idx="5">
                  <c:v>500000</c:v>
                </c:pt>
                <c:pt idx="6">
                  <c:v>300000</c:v>
                </c:pt>
                <c:pt idx="7">
                  <c:v>200000</c:v>
                </c:pt>
                <c:pt idx="8">
                  <c:v>90000</c:v>
                </c:pt>
                <c:pt idx="9">
                  <c:v>350000</c:v>
                </c:pt>
              </c:numCache>
            </c:numRef>
          </c:val>
          <c:smooth val="0"/>
          <c:extLst>
            <c:ext xmlns:c16="http://schemas.microsoft.com/office/drawing/2014/chart" uri="{C3380CC4-5D6E-409C-BE32-E72D297353CC}">
              <c16:uniqueId val="{00000000-0F98-40AB-9850-A62AF1393D32}"/>
            </c:ext>
          </c:extLst>
        </c:ser>
        <c:dLbls>
          <c:showLegendKey val="0"/>
          <c:showVal val="0"/>
          <c:showCatName val="0"/>
          <c:showSerName val="0"/>
          <c:showPercent val="0"/>
          <c:showBubbleSize val="0"/>
        </c:dLbls>
        <c:marker val="1"/>
        <c:smooth val="0"/>
        <c:axId val="1989664384"/>
        <c:axId val="2013898000"/>
      </c:lineChart>
      <c:catAx>
        <c:axId val="1989664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solidFill>
                <a:latin typeface="+mn-lt"/>
                <a:ea typeface="+mn-ea"/>
                <a:cs typeface="+mn-cs"/>
              </a:defRPr>
            </a:pPr>
            <a:endParaRPr lang="en-US"/>
          </a:p>
        </c:txPr>
        <c:crossAx val="2013898000"/>
        <c:crosses val="autoZero"/>
        <c:auto val="1"/>
        <c:lblAlgn val="ctr"/>
        <c:lblOffset val="100"/>
        <c:noMultiLvlLbl val="0"/>
      </c:catAx>
      <c:valAx>
        <c:axId val="2013898000"/>
        <c:scaling>
          <c:orientation val="minMax"/>
        </c:scaling>
        <c:delete val="0"/>
        <c:axPos val="l"/>
        <c:majorGridlines>
          <c:spPr>
            <a:ln w="9525" cap="flat" cmpd="sng" algn="ctr">
              <a:solidFill>
                <a:schemeClr val="bg2">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1989664384"/>
        <c:crosses val="autoZero"/>
        <c:crossBetween val="between"/>
      </c:valAx>
      <c:spPr>
        <a:solidFill>
          <a:srgbClr val="C00000"/>
        </a:solidFill>
        <a:ln>
          <a:solidFill>
            <a:srgbClr val="C00000"/>
          </a:solidFill>
          <a:prstDash val="sysDot"/>
        </a:ln>
        <a:effectLst>
          <a:softEdge rad="0"/>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C00000"/>
    </a:solidFill>
    <a:ln w="9525"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[Netflix dashboard.xlsm]ANALYSIS!PivotTable7</c:name>
    <c:fmtId val="3"/>
  </c:pivotSource>
  <c:chart>
    <c:title>
      <c:tx>
        <c:rich>
          <a:bodyPr rot="0" spcFirstLastPara="1" vertOverflow="ellipsis" vert="horz" wrap="square" anchor="ctr" anchorCtr="1"/>
          <a:lstStyle/>
          <a:p>
            <a:pPr>
              <a:defRPr sz="2400" b="0" i="0" u="none" strike="noStrike" kern="1200" spc="0" baseline="0">
                <a:solidFill>
                  <a:schemeClr val="tx1"/>
                </a:solidFill>
                <a:latin typeface="+mn-lt"/>
                <a:ea typeface="+mn-ea"/>
                <a:cs typeface="+mn-cs"/>
              </a:defRPr>
            </a:pPr>
            <a:r>
              <a:rPr lang="en-US" sz="2400" b="1">
                <a:solidFill>
                  <a:schemeClr val="tx1"/>
                </a:solidFill>
              </a:rPr>
              <a:t>COUNTRY</a:t>
            </a:r>
            <a:r>
              <a:rPr lang="en-US" sz="2400" b="1" baseline="0">
                <a:solidFill>
                  <a:schemeClr val="tx1"/>
                </a:solidFill>
              </a:rPr>
              <a:t> VS WATCH TIME</a:t>
            </a:r>
            <a:endParaRPr lang="en-US" sz="2400" b="1">
              <a:solidFill>
                <a:schemeClr val="tx1"/>
              </a:solidFill>
            </a:endParaRPr>
          </a:p>
        </c:rich>
      </c:tx>
      <c:layout>
        <c:manualLayout>
          <c:xMode val="edge"/>
          <c:yMode val="edge"/>
          <c:x val="0.34638818987610837"/>
          <c:y val="6.1083212479688981E-2"/>
        </c:manualLayout>
      </c:layout>
      <c:overlay val="0"/>
      <c:spPr>
        <a:noFill/>
        <a:ln>
          <a:solidFill>
            <a:srgbClr val="C00000"/>
          </a:solidFill>
        </a:ln>
        <a:effectLst/>
      </c:spPr>
      <c:txPr>
        <a:bodyPr rot="0" spcFirstLastPara="1" vertOverflow="ellipsis" vert="horz" wrap="square" anchor="ctr" anchorCtr="1"/>
        <a:lstStyle/>
        <a:p>
          <a:pPr>
            <a:defRPr sz="2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solidFill>
          <a:srgbClr val="C00000"/>
        </a:solidFill>
        <a:ln>
          <a:solidFill>
            <a:srgbClr val="C00000"/>
          </a:solidFill>
        </a:ln>
        <a:effectLst/>
        <a:sp3d>
          <a:contourClr>
            <a:srgbClr val="C00000"/>
          </a:contourClr>
        </a:sp3d>
      </c:spPr>
    </c:backWall>
    <c:plotArea>
      <c:layout/>
      <c:area3DChart>
        <c:grouping val="standard"/>
        <c:varyColors val="0"/>
        <c:ser>
          <c:idx val="0"/>
          <c:order val="0"/>
          <c:tx>
            <c:strRef>
              <c:f>ANALYSIS!$H$3</c:f>
              <c:strCache>
                <c:ptCount val="1"/>
                <c:pt idx="0">
                  <c:v>Total</c:v>
                </c:pt>
              </c:strCache>
            </c:strRef>
          </c:tx>
          <c:spPr>
            <a:solidFill>
              <a:schemeClr val="tx1">
                <a:lumMod val="85000"/>
                <a:lumOff val="15000"/>
              </a:schemeClr>
            </a:solidFill>
            <a:ln>
              <a:noFill/>
            </a:ln>
            <a:effectLst/>
            <a:sp3d/>
          </c:spPr>
          <c:cat>
            <c:strRef>
              <c:f>ANALYSIS!$G$4:$G$8</c:f>
              <c:strCache>
                <c:ptCount val="5"/>
                <c:pt idx="0">
                  <c:v>Poland</c:v>
                </c:pt>
                <c:pt idx="1">
                  <c:v>South Korea</c:v>
                </c:pt>
                <c:pt idx="2">
                  <c:v>Spain</c:v>
                </c:pt>
                <c:pt idx="3">
                  <c:v>UK</c:v>
                </c:pt>
                <c:pt idx="4">
                  <c:v>USA</c:v>
                </c:pt>
              </c:strCache>
            </c:strRef>
          </c:cat>
          <c:val>
            <c:numRef>
              <c:f>ANALYSIS!$H$4:$H$8</c:f>
              <c:numCache>
                <c:formatCode>General</c:formatCode>
                <c:ptCount val="5"/>
                <c:pt idx="0">
                  <c:v>350000</c:v>
                </c:pt>
                <c:pt idx="1">
                  <c:v>100000</c:v>
                </c:pt>
                <c:pt idx="2">
                  <c:v>400000</c:v>
                </c:pt>
                <c:pt idx="3">
                  <c:v>300000</c:v>
                </c:pt>
                <c:pt idx="4">
                  <c:v>1200000</c:v>
                </c:pt>
              </c:numCache>
            </c:numRef>
          </c:val>
          <c:extLst>
            <c:ext xmlns:c16="http://schemas.microsoft.com/office/drawing/2014/chart" uri="{C3380CC4-5D6E-409C-BE32-E72D297353CC}">
              <c16:uniqueId val="{00000000-FCBA-495F-B894-C37A7A347ACE}"/>
            </c:ext>
          </c:extLst>
        </c:ser>
        <c:dLbls>
          <c:showLegendKey val="0"/>
          <c:showVal val="0"/>
          <c:showCatName val="0"/>
          <c:showSerName val="0"/>
          <c:showPercent val="0"/>
          <c:showBubbleSize val="0"/>
        </c:dLbls>
        <c:axId val="1452925584"/>
        <c:axId val="1875085168"/>
        <c:axId val="679915728"/>
      </c:area3DChart>
      <c:catAx>
        <c:axId val="1452925584"/>
        <c:scaling>
          <c:orientation val="minMax"/>
        </c:scaling>
        <c:delete val="0"/>
        <c:axPos val="b"/>
        <c:numFmt formatCode="General" sourceLinked="1"/>
        <c:majorTickMark val="out"/>
        <c:minorTickMark val="none"/>
        <c:tickLblPos val="nextTo"/>
        <c:spPr>
          <a:noFill/>
          <a:ln w="9525" cap="flat" cmpd="sng" algn="ctr">
            <a:solidFill>
              <a:srgbClr val="C00000">
                <a:alpha val="83000"/>
              </a:srgbClr>
            </a:solidFill>
            <a:round/>
          </a:ln>
          <a:effectLst>
            <a:softEdge rad="114300"/>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1875085168"/>
        <c:crosses val="autoZero"/>
        <c:auto val="1"/>
        <c:lblAlgn val="ctr"/>
        <c:lblOffset val="100"/>
        <c:noMultiLvlLbl val="0"/>
      </c:catAx>
      <c:valAx>
        <c:axId val="187508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95000"/>
                    <a:lumOff val="5000"/>
                  </a:schemeClr>
                </a:solidFill>
                <a:latin typeface="+mn-lt"/>
                <a:ea typeface="+mn-ea"/>
                <a:cs typeface="+mn-cs"/>
              </a:defRPr>
            </a:pPr>
            <a:endParaRPr lang="en-US"/>
          </a:p>
        </c:txPr>
        <c:crossAx val="1452925584"/>
        <c:crosses val="autoZero"/>
        <c:crossBetween val="midCat"/>
      </c:valAx>
      <c:serAx>
        <c:axId val="679915728"/>
        <c:scaling>
          <c:orientation val="minMax"/>
        </c:scaling>
        <c:delete val="1"/>
        <c:axPos val="b"/>
        <c:majorTickMark val="out"/>
        <c:minorTickMark val="none"/>
        <c:tickLblPos val="nextTo"/>
        <c:crossAx val="187508516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C00000"/>
    </a:solidFill>
    <a:ln w="9525"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jpg"/><Relationship Id="rId13" Type="http://schemas.openxmlformats.org/officeDocument/2006/relationships/image" Target="../media/image9.jpg"/><Relationship Id="rId3" Type="http://schemas.openxmlformats.org/officeDocument/2006/relationships/chart" Target="../charts/chart3.xml"/><Relationship Id="rId7" Type="http://schemas.openxmlformats.org/officeDocument/2006/relationships/image" Target="../media/image3.jpg"/><Relationship Id="rId12" Type="http://schemas.openxmlformats.org/officeDocument/2006/relationships/image" Target="../media/image8.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jpg"/><Relationship Id="rId11" Type="http://schemas.openxmlformats.org/officeDocument/2006/relationships/image" Target="../media/image7.png"/><Relationship Id="rId5" Type="http://schemas.openxmlformats.org/officeDocument/2006/relationships/image" Target="../media/image1.jpg"/><Relationship Id="rId10" Type="http://schemas.openxmlformats.org/officeDocument/2006/relationships/image" Target="../media/image6.jpg"/><Relationship Id="rId4" Type="http://schemas.openxmlformats.org/officeDocument/2006/relationships/chart" Target="../charts/chart4.xml"/><Relationship Id="rId9" Type="http://schemas.openxmlformats.org/officeDocument/2006/relationships/image" Target="../media/image5.png"/><Relationship Id="rId14" Type="http://schemas.openxmlformats.org/officeDocument/2006/relationships/image" Target="../media/image10.jpg"/></Relationships>
</file>

<file path=xl/drawings/drawing1.xml><?xml version="1.0" encoding="utf-8"?>
<xdr:wsDr xmlns:xdr="http://schemas.openxmlformats.org/drawingml/2006/spreadsheetDrawing" xmlns:a="http://schemas.openxmlformats.org/drawingml/2006/main">
  <xdr:twoCellAnchor>
    <xdr:from>
      <xdr:col>1</xdr:col>
      <xdr:colOff>279794</xdr:colOff>
      <xdr:row>1</xdr:row>
      <xdr:rowOff>61859</xdr:rowOff>
    </xdr:from>
    <xdr:to>
      <xdr:col>40</xdr:col>
      <xdr:colOff>84762</xdr:colOff>
      <xdr:row>63</xdr:row>
      <xdr:rowOff>20484</xdr:rowOff>
    </xdr:to>
    <xdr:sp macro="" textlink="">
      <xdr:nvSpPr>
        <xdr:cNvPr id="45" name="Rectangle 44">
          <a:extLst>
            <a:ext uri="{FF2B5EF4-FFF2-40B4-BE49-F238E27FC236}">
              <a16:creationId xmlns:a16="http://schemas.microsoft.com/office/drawing/2014/main" id="{33CA6F9E-A038-D2EF-520D-7AEBAF535AD7}"/>
            </a:ext>
          </a:extLst>
        </xdr:cNvPr>
        <xdr:cNvSpPr/>
      </xdr:nvSpPr>
      <xdr:spPr>
        <a:xfrm>
          <a:off x="1138220" y="250007"/>
          <a:ext cx="25052098" cy="11623810"/>
        </a:xfrm>
        <a:prstGeom prst="rect">
          <a:avLst/>
        </a:prstGeom>
        <a:ln>
          <a:solidFill>
            <a:srgbClr val="CC0000"/>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1743758</xdr:colOff>
      <xdr:row>11</xdr:row>
      <xdr:rowOff>70586</xdr:rowOff>
    </xdr:from>
    <xdr:to>
      <xdr:col>40</xdr:col>
      <xdr:colOff>0</xdr:colOff>
      <xdr:row>62</xdr:row>
      <xdr:rowOff>61351</xdr:rowOff>
    </xdr:to>
    <xdr:grpSp>
      <xdr:nvGrpSpPr>
        <xdr:cNvPr id="37" name="Group 36">
          <a:extLst>
            <a:ext uri="{FF2B5EF4-FFF2-40B4-BE49-F238E27FC236}">
              <a16:creationId xmlns:a16="http://schemas.microsoft.com/office/drawing/2014/main" id="{F676A12A-9BA3-E292-F7C0-C2DA0B7A0064}"/>
            </a:ext>
          </a:extLst>
        </xdr:cNvPr>
        <xdr:cNvGrpSpPr/>
      </xdr:nvGrpSpPr>
      <xdr:grpSpPr>
        <a:xfrm>
          <a:off x="2609667" y="2134336"/>
          <a:ext cx="23295447" cy="9559060"/>
          <a:chOff x="1733286" y="52935"/>
          <a:chExt cx="18531740" cy="6082575"/>
        </a:xfrm>
      </xdr:grpSpPr>
      <xdr:sp macro="" textlink="">
        <xdr:nvSpPr>
          <xdr:cNvPr id="9" name="Rectangle: Diagonal Corners Rounded 8">
            <a:extLst>
              <a:ext uri="{FF2B5EF4-FFF2-40B4-BE49-F238E27FC236}">
                <a16:creationId xmlns:a16="http://schemas.microsoft.com/office/drawing/2014/main" id="{95C69684-2CCF-7029-B47E-2581EA40EAF7}"/>
              </a:ext>
            </a:extLst>
          </xdr:cNvPr>
          <xdr:cNvSpPr/>
        </xdr:nvSpPr>
        <xdr:spPr>
          <a:xfrm rot="5400000">
            <a:off x="15766670" y="1505953"/>
            <a:ext cx="5775577" cy="3221134"/>
          </a:xfrm>
          <a:prstGeom prst="round2DiagRect">
            <a:avLst/>
          </a:prstGeom>
          <a:gradFill flip="none" rotWithShape="1">
            <a:gsLst>
              <a:gs pos="0">
                <a:srgbClr val="C00000">
                  <a:shade val="30000"/>
                  <a:satMod val="115000"/>
                </a:srgbClr>
              </a:gs>
              <a:gs pos="50000">
                <a:srgbClr val="C00000">
                  <a:shade val="67500"/>
                  <a:satMod val="115000"/>
                </a:srgbClr>
              </a:gs>
              <a:gs pos="100000">
                <a:srgbClr val="C00000">
                  <a:shade val="100000"/>
                  <a:satMod val="115000"/>
                </a:srgbClr>
              </a:gs>
            </a:gsLst>
            <a:lin ang="10800000" scaled="1"/>
            <a:tileRect/>
          </a:gradFill>
          <a:ln>
            <a:solidFill>
              <a:schemeClr val="tx1">
                <a:lumMod val="85000"/>
                <a:lumOff val="15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 name="Group 4">
            <a:extLst>
              <a:ext uri="{FF2B5EF4-FFF2-40B4-BE49-F238E27FC236}">
                <a16:creationId xmlns:a16="http://schemas.microsoft.com/office/drawing/2014/main" id="{A255EEB4-0CEC-7F6B-5CEA-D26A62A120F7}"/>
              </a:ext>
            </a:extLst>
          </xdr:cNvPr>
          <xdr:cNvGrpSpPr/>
        </xdr:nvGrpSpPr>
        <xdr:grpSpPr>
          <a:xfrm>
            <a:off x="1733286" y="193700"/>
            <a:ext cx="4549652" cy="5805714"/>
            <a:chOff x="1801092" y="251664"/>
            <a:chExt cx="4551147" cy="4941489"/>
          </a:xfrm>
          <a:solidFill>
            <a:srgbClr val="C00000"/>
          </a:solidFill>
          <a:effectLst>
            <a:outerShdw blurRad="50800" dist="38100" dir="18900000" algn="bl" rotWithShape="0">
              <a:prstClr val="black">
                <a:alpha val="40000"/>
              </a:prstClr>
            </a:outerShdw>
          </a:effectLst>
        </xdr:grpSpPr>
        <xdr:sp macro="" textlink="">
          <xdr:nvSpPr>
            <xdr:cNvPr id="2" name="Rectangle 1">
              <a:extLst>
                <a:ext uri="{FF2B5EF4-FFF2-40B4-BE49-F238E27FC236}">
                  <a16:creationId xmlns:a16="http://schemas.microsoft.com/office/drawing/2014/main" id="{B87E02F7-4928-3CE1-13EC-E87AB4FA45C2}"/>
                </a:ext>
              </a:extLst>
            </xdr:cNvPr>
            <xdr:cNvSpPr/>
          </xdr:nvSpPr>
          <xdr:spPr>
            <a:xfrm>
              <a:off x="1801092" y="251664"/>
              <a:ext cx="1616723" cy="4905145"/>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3">
              <a:extLst>
                <a:ext uri="{FF2B5EF4-FFF2-40B4-BE49-F238E27FC236}">
                  <a16:creationId xmlns:a16="http://schemas.microsoft.com/office/drawing/2014/main" id="{E91A9B11-0D75-35C2-44F6-DB1F0121C8BB}"/>
                </a:ext>
              </a:extLst>
            </xdr:cNvPr>
            <xdr:cNvSpPr/>
          </xdr:nvSpPr>
          <xdr:spPr>
            <a:xfrm>
              <a:off x="4774067" y="251664"/>
              <a:ext cx="1578172" cy="4941489"/>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62F25640-C987-4074-AE8C-EEA5B183230D}"/>
                  </a:ext>
                </a:extLst>
              </xdr:cNvPr>
              <xdr:cNvGraphicFramePr/>
            </xdr:nvGraphicFramePr>
            <xdr:xfrm>
              <a:off x="4990790" y="294190"/>
              <a:ext cx="1168948" cy="1383898"/>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704534" y="2513480"/>
                <a:ext cx="1469434" cy="21748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3" name="Chart 12">
            <a:extLst>
              <a:ext uri="{FF2B5EF4-FFF2-40B4-BE49-F238E27FC236}">
                <a16:creationId xmlns:a16="http://schemas.microsoft.com/office/drawing/2014/main" id="{DE28D51C-89A1-40C6-A34B-C7FE35FD0905}"/>
              </a:ext>
            </a:extLst>
          </xdr:cNvPr>
          <xdr:cNvGraphicFramePr>
            <a:graphicFrameLocks/>
          </xdr:cNvGraphicFramePr>
        </xdr:nvGraphicFramePr>
        <xdr:xfrm>
          <a:off x="11492236" y="211567"/>
          <a:ext cx="5458542" cy="30208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4" name="Chart 13">
            <a:extLst>
              <a:ext uri="{FF2B5EF4-FFF2-40B4-BE49-F238E27FC236}">
                <a16:creationId xmlns:a16="http://schemas.microsoft.com/office/drawing/2014/main" id="{3DDFC074-EA66-4E15-9385-198A831DB250}"/>
              </a:ext>
            </a:extLst>
          </xdr:cNvPr>
          <xdr:cNvGraphicFramePr>
            <a:graphicFrameLocks/>
          </xdr:cNvGraphicFramePr>
        </xdr:nvGraphicFramePr>
        <xdr:xfrm>
          <a:off x="13231327" y="3265714"/>
          <a:ext cx="3727253" cy="27337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7DEC8A88-0F5A-434A-B000-4D73DFC5276B}"/>
              </a:ext>
            </a:extLst>
          </xdr:cNvPr>
          <xdr:cNvGraphicFramePr>
            <a:graphicFrameLocks/>
          </xdr:cNvGraphicFramePr>
        </xdr:nvGraphicFramePr>
        <xdr:xfrm>
          <a:off x="6385581" y="193700"/>
          <a:ext cx="5018501" cy="300853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AD2E4589-B6B9-4D88-B254-EDB11D8B12E3}"/>
              </a:ext>
            </a:extLst>
          </xdr:cNvPr>
          <xdr:cNvGraphicFramePr>
            <a:graphicFrameLocks/>
          </xdr:cNvGraphicFramePr>
        </xdr:nvGraphicFramePr>
        <xdr:xfrm>
          <a:off x="6335580" y="3268929"/>
          <a:ext cx="6823552" cy="2756531"/>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7" name="Rectangle: Rounded Corners 16">
            <a:extLst>
              <a:ext uri="{FF2B5EF4-FFF2-40B4-BE49-F238E27FC236}">
                <a16:creationId xmlns:a16="http://schemas.microsoft.com/office/drawing/2014/main" id="{CC7D48A5-876F-8268-F6B8-D81A69B9914B}"/>
              </a:ext>
            </a:extLst>
          </xdr:cNvPr>
          <xdr:cNvSpPr/>
        </xdr:nvSpPr>
        <xdr:spPr>
          <a:xfrm rot="20102790">
            <a:off x="3332319" y="52935"/>
            <a:ext cx="1517314" cy="6082575"/>
          </a:xfrm>
          <a:prstGeom prst="roundRect">
            <a:avLst>
              <a:gd name="adj" fmla="val 38197"/>
            </a:avLst>
          </a:prstGeom>
          <a:solidFill>
            <a:srgbClr val="CC0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pic>
        <xdr:nvPicPr>
          <xdr:cNvPr id="21" name="Picture 20">
            <a:extLst>
              <a:ext uri="{FF2B5EF4-FFF2-40B4-BE49-F238E27FC236}">
                <a16:creationId xmlns:a16="http://schemas.microsoft.com/office/drawing/2014/main" id="{18A61AD2-DD8D-61C9-ED9C-2FA41BEEAC9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7127963" y="4723315"/>
            <a:ext cx="1680029" cy="900971"/>
          </a:xfrm>
          <a:prstGeom prst="rect">
            <a:avLst/>
          </a:prstGeom>
        </xdr:spPr>
      </xdr:pic>
      <xdr:pic>
        <xdr:nvPicPr>
          <xdr:cNvPr id="23" name="Picture 22">
            <a:extLst>
              <a:ext uri="{FF2B5EF4-FFF2-40B4-BE49-F238E27FC236}">
                <a16:creationId xmlns:a16="http://schemas.microsoft.com/office/drawing/2014/main" id="{AB4244C8-5E2B-94AF-C774-4B880B0DD1A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127962" y="3598359"/>
            <a:ext cx="1680030" cy="1118784"/>
          </a:xfrm>
          <a:prstGeom prst="rect">
            <a:avLst/>
          </a:prstGeom>
        </xdr:spPr>
      </xdr:pic>
      <xdr:pic>
        <xdr:nvPicPr>
          <xdr:cNvPr id="25" name="Picture 24">
            <a:extLst>
              <a:ext uri="{FF2B5EF4-FFF2-40B4-BE49-F238E27FC236}">
                <a16:creationId xmlns:a16="http://schemas.microsoft.com/office/drawing/2014/main" id="{4610A672-2ADD-EE16-462E-D023749D2E0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7127962" y="2509787"/>
            <a:ext cx="1680029" cy="1088572"/>
          </a:xfrm>
          <a:prstGeom prst="rect">
            <a:avLst/>
          </a:prstGeom>
        </xdr:spPr>
      </xdr:pic>
      <xdr:pic>
        <xdr:nvPicPr>
          <xdr:cNvPr id="27" name="Picture 26">
            <a:extLst>
              <a:ext uri="{FF2B5EF4-FFF2-40B4-BE49-F238E27FC236}">
                <a16:creationId xmlns:a16="http://schemas.microsoft.com/office/drawing/2014/main" id="{1155578F-EDFC-7259-2D6A-44A75A65FE7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127963" y="1327034"/>
            <a:ext cx="1680029" cy="1182753"/>
          </a:xfrm>
          <a:prstGeom prst="rect">
            <a:avLst/>
          </a:prstGeom>
        </xdr:spPr>
      </xdr:pic>
      <xdr:pic>
        <xdr:nvPicPr>
          <xdr:cNvPr id="29" name="Picture 28">
            <a:extLst>
              <a:ext uri="{FF2B5EF4-FFF2-40B4-BE49-F238E27FC236}">
                <a16:creationId xmlns:a16="http://schemas.microsoft.com/office/drawing/2014/main" id="{AE174C77-E9C2-6937-BCAF-88A74AD5F08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7127963" y="294190"/>
            <a:ext cx="1680029" cy="1032844"/>
          </a:xfrm>
          <a:prstGeom prst="rect">
            <a:avLst/>
          </a:prstGeom>
          <a:ln>
            <a:noFill/>
          </a:ln>
          <a:effectLst>
            <a:outerShdw blurRad="292100" dist="139700" dir="2700000" algn="tl" rotWithShape="0">
              <a:srgbClr val="333333">
                <a:alpha val="65000"/>
              </a:srgbClr>
            </a:outerShdw>
          </a:effectLst>
        </xdr:spPr>
      </xdr:pic>
      <xdr:sp macro="" textlink="">
        <xdr:nvSpPr>
          <xdr:cNvPr id="32" name="Rectangle 31">
            <a:extLst>
              <a:ext uri="{FF2B5EF4-FFF2-40B4-BE49-F238E27FC236}">
                <a16:creationId xmlns:a16="http://schemas.microsoft.com/office/drawing/2014/main" id="{24A582CD-9BD8-8366-BE26-917DBEF18BF2}"/>
              </a:ext>
            </a:extLst>
          </xdr:cNvPr>
          <xdr:cNvSpPr/>
        </xdr:nvSpPr>
        <xdr:spPr>
          <a:xfrm>
            <a:off x="18996265" y="412866"/>
            <a:ext cx="845381" cy="594931"/>
          </a:xfrm>
          <a:prstGeom prst="rect">
            <a:avLst/>
          </a:prstGeom>
          <a:noFill/>
        </xdr:spPr>
        <xdr:txBody>
          <a:bodyPr wrap="none" lIns="91440" tIns="45720" rIns="91440" bIns="45720">
            <a:spAutoFit/>
          </a:bodyPr>
          <a:lstStyle/>
          <a:p>
            <a:pPr algn="ctr"/>
            <a:r>
              <a:rPr lang="en-US" sz="5400" b="1" cap="none" spc="0">
                <a:ln w="19050">
                  <a:solidFill>
                    <a:srgbClr val="C00000"/>
                  </a:solidFill>
                </a:ln>
                <a:solidFill>
                  <a:schemeClr val="tx1">
                    <a:lumMod val="95000"/>
                    <a:lumOff val="5000"/>
                  </a:schemeClr>
                </a:solidFill>
                <a:effectLst>
                  <a:outerShdw blurRad="38100" dist="19050" dir="2700000" algn="tl" rotWithShape="0">
                    <a:schemeClr val="dk1">
                      <a:alpha val="40000"/>
                    </a:schemeClr>
                  </a:outerShdw>
                </a:effectLst>
              </a:rPr>
              <a:t>4.8</a:t>
            </a:r>
          </a:p>
        </xdr:txBody>
      </xdr:sp>
      <xdr:sp macro="" textlink="">
        <xdr:nvSpPr>
          <xdr:cNvPr id="33" name="Rectangle 32">
            <a:extLst>
              <a:ext uri="{FF2B5EF4-FFF2-40B4-BE49-F238E27FC236}">
                <a16:creationId xmlns:a16="http://schemas.microsoft.com/office/drawing/2014/main" id="{E7C81B83-FB4E-80F7-25B0-F492F7C3F5C4}"/>
              </a:ext>
            </a:extLst>
          </xdr:cNvPr>
          <xdr:cNvSpPr/>
        </xdr:nvSpPr>
        <xdr:spPr>
          <a:xfrm>
            <a:off x="18978848" y="1595619"/>
            <a:ext cx="845381" cy="594931"/>
          </a:xfrm>
          <a:prstGeom prst="rect">
            <a:avLst/>
          </a:prstGeom>
          <a:noFill/>
        </xdr:spPr>
        <xdr:txBody>
          <a:bodyPr wrap="none" lIns="91440" tIns="45720" rIns="91440" bIns="45720">
            <a:spAutoFit/>
          </a:bodyPr>
          <a:lstStyle/>
          <a:p>
            <a:pPr algn="ctr"/>
            <a:r>
              <a:rPr lang="en-US" sz="5400" b="1" cap="none" spc="0">
                <a:ln w="19050">
                  <a:solidFill>
                    <a:srgbClr val="C00000"/>
                  </a:solidFill>
                </a:ln>
                <a:solidFill>
                  <a:schemeClr val="tx1">
                    <a:lumMod val="95000"/>
                    <a:lumOff val="5000"/>
                  </a:schemeClr>
                </a:solidFill>
                <a:effectLst>
                  <a:outerShdw blurRad="38100" dist="19050" dir="2700000" algn="tl" rotWithShape="0">
                    <a:schemeClr val="dk1">
                      <a:alpha val="40000"/>
                    </a:schemeClr>
                  </a:outerShdw>
                </a:effectLst>
              </a:rPr>
              <a:t>4.7</a:t>
            </a:r>
          </a:p>
        </xdr:txBody>
      </xdr:sp>
      <xdr:sp macro="" textlink="">
        <xdr:nvSpPr>
          <xdr:cNvPr id="34" name="Rectangle 33">
            <a:extLst>
              <a:ext uri="{FF2B5EF4-FFF2-40B4-BE49-F238E27FC236}">
                <a16:creationId xmlns:a16="http://schemas.microsoft.com/office/drawing/2014/main" id="{7C3B3686-972B-07CE-8C30-789343CAF682}"/>
              </a:ext>
            </a:extLst>
          </xdr:cNvPr>
          <xdr:cNvSpPr/>
        </xdr:nvSpPr>
        <xdr:spPr>
          <a:xfrm>
            <a:off x="18989670" y="2693078"/>
            <a:ext cx="845381" cy="594931"/>
          </a:xfrm>
          <a:prstGeom prst="rect">
            <a:avLst/>
          </a:prstGeom>
          <a:noFill/>
        </xdr:spPr>
        <xdr:txBody>
          <a:bodyPr wrap="none" lIns="91440" tIns="45720" rIns="91440" bIns="45720">
            <a:spAutoFit/>
          </a:bodyPr>
          <a:lstStyle/>
          <a:p>
            <a:pPr algn="ctr"/>
            <a:r>
              <a:rPr lang="en-US" sz="5400" b="1" cap="none" spc="0">
                <a:ln w="19050">
                  <a:solidFill>
                    <a:srgbClr val="C00000"/>
                  </a:solidFill>
                </a:ln>
                <a:solidFill>
                  <a:schemeClr val="tx1">
                    <a:lumMod val="95000"/>
                    <a:lumOff val="5000"/>
                  </a:schemeClr>
                </a:solidFill>
                <a:effectLst>
                  <a:outerShdw blurRad="38100" dist="19050" dir="2700000" algn="tl" rotWithShape="0">
                    <a:schemeClr val="dk1">
                      <a:alpha val="40000"/>
                    </a:schemeClr>
                  </a:outerShdw>
                </a:effectLst>
              </a:rPr>
              <a:t>4.6</a:t>
            </a:r>
          </a:p>
        </xdr:txBody>
      </xdr:sp>
      <xdr:sp macro="" textlink="">
        <xdr:nvSpPr>
          <xdr:cNvPr id="35" name="Rectangle 34">
            <a:extLst>
              <a:ext uri="{FF2B5EF4-FFF2-40B4-BE49-F238E27FC236}">
                <a16:creationId xmlns:a16="http://schemas.microsoft.com/office/drawing/2014/main" id="{492190D6-1765-E836-E1D1-39043EA3522E}"/>
              </a:ext>
            </a:extLst>
          </xdr:cNvPr>
          <xdr:cNvSpPr/>
        </xdr:nvSpPr>
        <xdr:spPr>
          <a:xfrm>
            <a:off x="19011566" y="3800222"/>
            <a:ext cx="845381" cy="594931"/>
          </a:xfrm>
          <a:prstGeom prst="rect">
            <a:avLst/>
          </a:prstGeom>
          <a:noFill/>
        </xdr:spPr>
        <xdr:txBody>
          <a:bodyPr wrap="none" lIns="91440" tIns="45720" rIns="91440" bIns="45720">
            <a:spAutoFit/>
          </a:bodyPr>
          <a:lstStyle/>
          <a:p>
            <a:pPr algn="ctr"/>
            <a:r>
              <a:rPr lang="en-US" sz="5400" b="1" cap="none" spc="0">
                <a:ln w="19050">
                  <a:solidFill>
                    <a:srgbClr val="C00000"/>
                  </a:solidFill>
                </a:ln>
                <a:solidFill>
                  <a:schemeClr val="tx1">
                    <a:lumMod val="95000"/>
                    <a:lumOff val="5000"/>
                  </a:schemeClr>
                </a:solidFill>
                <a:effectLst>
                  <a:outerShdw blurRad="38100" dist="19050" dir="2700000" algn="tl" rotWithShape="0">
                    <a:schemeClr val="dk1">
                      <a:alpha val="40000"/>
                    </a:schemeClr>
                  </a:outerShdw>
                </a:effectLst>
              </a:rPr>
              <a:t>4.7</a:t>
            </a:r>
          </a:p>
        </xdr:txBody>
      </xdr:sp>
      <xdr:sp macro="" textlink="">
        <xdr:nvSpPr>
          <xdr:cNvPr id="36" name="Rectangle 35">
            <a:extLst>
              <a:ext uri="{FF2B5EF4-FFF2-40B4-BE49-F238E27FC236}">
                <a16:creationId xmlns:a16="http://schemas.microsoft.com/office/drawing/2014/main" id="{9595D03B-0A56-3AF0-553D-B9B05476F927}"/>
              </a:ext>
            </a:extLst>
          </xdr:cNvPr>
          <xdr:cNvSpPr/>
        </xdr:nvSpPr>
        <xdr:spPr>
          <a:xfrm>
            <a:off x="19006748" y="4714391"/>
            <a:ext cx="845381" cy="594931"/>
          </a:xfrm>
          <a:prstGeom prst="rect">
            <a:avLst/>
          </a:prstGeom>
          <a:noFill/>
        </xdr:spPr>
        <xdr:txBody>
          <a:bodyPr wrap="none" lIns="91440" tIns="45720" rIns="91440" bIns="45720">
            <a:spAutoFit/>
          </a:bodyPr>
          <a:lstStyle/>
          <a:p>
            <a:pPr algn="ctr"/>
            <a:r>
              <a:rPr lang="en-US" sz="5400" b="1" cap="none" spc="0">
                <a:ln w="19050">
                  <a:solidFill>
                    <a:srgbClr val="C00000"/>
                  </a:solidFill>
                </a:ln>
                <a:solidFill>
                  <a:schemeClr val="tx1">
                    <a:lumMod val="95000"/>
                    <a:lumOff val="5000"/>
                  </a:schemeClr>
                </a:solidFill>
                <a:effectLst>
                  <a:outerShdw blurRad="38100" dist="19050" dir="2700000" algn="tl" rotWithShape="0">
                    <a:schemeClr val="dk1">
                      <a:alpha val="40000"/>
                    </a:schemeClr>
                  </a:outerShdw>
                </a:effectLst>
              </a:rPr>
              <a:t>4.8</a:t>
            </a:r>
          </a:p>
        </xdr:txBody>
      </xdr:sp>
    </xdr:grpSp>
    <xdr:clientData/>
  </xdr:twoCellAnchor>
  <xdr:twoCellAnchor editAs="oneCell">
    <xdr:from>
      <xdr:col>1</xdr:col>
      <xdr:colOff>1729805</xdr:colOff>
      <xdr:row>1</xdr:row>
      <xdr:rowOff>186763</xdr:rowOff>
    </xdr:from>
    <xdr:to>
      <xdr:col>11</xdr:col>
      <xdr:colOff>99989</xdr:colOff>
      <xdr:row>11</xdr:row>
      <xdr:rowOff>141275</xdr:rowOff>
    </xdr:to>
    <xdr:pic>
      <xdr:nvPicPr>
        <xdr:cNvPr id="39" name="Picture 38">
          <a:extLst>
            <a:ext uri="{FF2B5EF4-FFF2-40B4-BE49-F238E27FC236}">
              <a16:creationId xmlns:a16="http://schemas.microsoft.com/office/drawing/2014/main" id="{D92D1F14-AF58-AC33-53B1-A1A1C045BC5D}"/>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l="22964" t="34489" r="21799" b="34222"/>
        <a:stretch/>
      </xdr:blipFill>
      <xdr:spPr>
        <a:xfrm>
          <a:off x="2596393" y="373528"/>
          <a:ext cx="5893067" cy="1822159"/>
        </a:xfrm>
        <a:prstGeom prst="rect">
          <a:avLst/>
        </a:prstGeom>
      </xdr:spPr>
    </xdr:pic>
    <xdr:clientData/>
  </xdr:twoCellAnchor>
  <xdr:oneCellAnchor>
    <xdr:from>
      <xdr:col>10</xdr:col>
      <xdr:colOff>505067</xdr:colOff>
      <xdr:row>1</xdr:row>
      <xdr:rowOff>65691</xdr:rowOff>
    </xdr:from>
    <xdr:ext cx="17734757" cy="1824049"/>
    <xdr:sp macro="" textlink="">
      <xdr:nvSpPr>
        <xdr:cNvPr id="40" name="Rectangle 39">
          <a:extLst>
            <a:ext uri="{FF2B5EF4-FFF2-40B4-BE49-F238E27FC236}">
              <a16:creationId xmlns:a16="http://schemas.microsoft.com/office/drawing/2014/main" id="{45AA022D-F1FA-E44A-5A1E-81E782D3F4D7}"/>
            </a:ext>
          </a:extLst>
        </xdr:cNvPr>
        <xdr:cNvSpPr/>
      </xdr:nvSpPr>
      <xdr:spPr>
        <a:xfrm>
          <a:off x="8278343" y="240863"/>
          <a:ext cx="17734757" cy="1824049"/>
        </a:xfrm>
        <a:prstGeom prst="rect">
          <a:avLst/>
        </a:prstGeom>
        <a:solidFill>
          <a:schemeClr val="tx1">
            <a:lumMod val="95000"/>
            <a:lumOff val="5000"/>
          </a:schemeClr>
        </a:solidFill>
      </xdr:spPr>
      <xdr:txBody>
        <a:bodyPr wrap="square" lIns="91440" tIns="45720" rIns="91440" bIns="45720" anchor="ctr">
          <a:noAutofit/>
        </a:bodyPr>
        <a:lstStyle/>
        <a:p>
          <a:pPr algn="ctr"/>
          <a:r>
            <a:rPr lang="en-US" sz="13300" b="1" cap="none" spc="0">
              <a:ln w="0"/>
              <a:solidFill>
                <a:srgbClr val="C00000"/>
              </a:solidFill>
              <a:effectLst>
                <a:outerShdw blurRad="38100" dist="25400" dir="5400000" algn="ctr" rotWithShape="0">
                  <a:srgbClr val="6E747A">
                    <a:alpha val="43000"/>
                  </a:srgbClr>
                </a:outerShdw>
              </a:effectLst>
              <a:latin typeface="Avenir Next LT Pro Demi" panose="020F0502020204030204" pitchFamily="34" charset="0"/>
            </a:rPr>
            <a:t>D</a:t>
          </a:r>
          <a:r>
            <a:rPr lang="en-US" sz="12900" b="1" cap="none" spc="0">
              <a:ln w="0"/>
              <a:solidFill>
                <a:srgbClr val="C00000"/>
              </a:solidFill>
              <a:effectLst>
                <a:outerShdw blurRad="38100" dist="25400" dir="5400000" algn="ctr" rotWithShape="0">
                  <a:srgbClr val="6E747A">
                    <a:alpha val="43000"/>
                  </a:srgbClr>
                </a:outerShdw>
              </a:effectLst>
              <a:latin typeface="Avenir Next LT Pro Demi" panose="020F0502020204030204" pitchFamily="34" charset="0"/>
            </a:rPr>
            <a:t>RAMA DASHBOAR</a:t>
          </a:r>
          <a:r>
            <a:rPr lang="en-US" sz="13200" b="1" cap="none" spc="0">
              <a:ln w="0"/>
              <a:solidFill>
                <a:srgbClr val="C00000"/>
              </a:solidFill>
              <a:effectLst>
                <a:outerShdw blurRad="38100" dist="25400" dir="5400000" algn="ctr" rotWithShape="0">
                  <a:srgbClr val="6E747A">
                    <a:alpha val="43000"/>
                  </a:srgbClr>
                </a:outerShdw>
              </a:effectLst>
              <a:latin typeface="Avenir Next LT Pro Demi" panose="020F0502020204030204" pitchFamily="34" charset="0"/>
            </a:rPr>
            <a:t>D</a:t>
          </a:r>
        </a:p>
      </xdr:txBody>
    </xdr:sp>
    <xdr:clientData/>
  </xdr:oneCellAnchor>
  <xdr:twoCellAnchor editAs="oneCell">
    <xdr:from>
      <xdr:col>1</xdr:col>
      <xdr:colOff>1927726</xdr:colOff>
      <xdr:row>51</xdr:row>
      <xdr:rowOff>114634</xdr:rowOff>
    </xdr:from>
    <xdr:to>
      <xdr:col>4</xdr:col>
      <xdr:colOff>392637</xdr:colOff>
      <xdr:row>60</xdr:row>
      <xdr:rowOff>1842</xdr:rowOff>
    </xdr:to>
    <xdr:pic>
      <xdr:nvPicPr>
        <xdr:cNvPr id="49" name="Picture 48">
          <a:extLst>
            <a:ext uri="{FF2B5EF4-FFF2-40B4-BE49-F238E27FC236}">
              <a16:creationId xmlns:a16="http://schemas.microsoft.com/office/drawing/2014/main" id="{C926F77B-B24A-AFE9-218B-04F43C5B9D6F}"/>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l="25920" t="14948" r="30880" b="15283"/>
        <a:stretch/>
      </xdr:blipFill>
      <xdr:spPr>
        <a:xfrm>
          <a:off x="2790368" y="9280200"/>
          <a:ext cx="1687835" cy="1502819"/>
        </a:xfrm>
        <a:prstGeom prst="rect">
          <a:avLst/>
        </a:prstGeom>
      </xdr:spPr>
    </xdr:pic>
    <xdr:clientData/>
  </xdr:twoCellAnchor>
  <xdr:twoCellAnchor editAs="oneCell">
    <xdr:from>
      <xdr:col>1</xdr:col>
      <xdr:colOff>316810</xdr:colOff>
      <xdr:row>40</xdr:row>
      <xdr:rowOff>33722</xdr:rowOff>
    </xdr:from>
    <xdr:to>
      <xdr:col>1</xdr:col>
      <xdr:colOff>1729805</xdr:colOff>
      <xdr:row>63</xdr:row>
      <xdr:rowOff>0</xdr:rowOff>
    </xdr:to>
    <xdr:pic>
      <xdr:nvPicPr>
        <xdr:cNvPr id="51" name="Picture 50">
          <a:extLst>
            <a:ext uri="{FF2B5EF4-FFF2-40B4-BE49-F238E27FC236}">
              <a16:creationId xmlns:a16="http://schemas.microsoft.com/office/drawing/2014/main" id="{43E8640D-7E87-FD2A-F266-F710CB9B3985}"/>
            </a:ext>
          </a:extLst>
        </xdr:cNvPr>
        <xdr:cNvPicPr>
          <a:picLocks noChangeAspect="1"/>
        </xdr:cNvPicPr>
      </xdr:nvPicPr>
      <xdr:blipFill rotWithShape="1">
        <a:blip xmlns:r="http://schemas.openxmlformats.org/officeDocument/2006/relationships" r:embed="rId12">
          <a:alphaModFix amt="85000"/>
          <a:extLst>
            <a:ext uri="{28A0092B-C50C-407E-A947-70E740481C1C}">
              <a14:useLocalDpi xmlns:a14="http://schemas.microsoft.com/office/drawing/2010/main" val="0"/>
            </a:ext>
          </a:extLst>
        </a:blip>
        <a:srcRect t="16092" b="19540"/>
        <a:stretch/>
      </xdr:blipFill>
      <xdr:spPr>
        <a:xfrm rot="16200000">
          <a:off x="-120348" y="8331743"/>
          <a:ext cx="3995243" cy="1412995"/>
        </a:xfrm>
        <a:prstGeom prst="rect">
          <a:avLst/>
        </a:prstGeom>
      </xdr:spPr>
    </xdr:pic>
    <xdr:clientData/>
  </xdr:twoCellAnchor>
  <xdr:twoCellAnchor editAs="oneCell">
    <xdr:from>
      <xdr:col>1</xdr:col>
      <xdr:colOff>325806</xdr:colOff>
      <xdr:row>30</xdr:row>
      <xdr:rowOff>-1</xdr:rowOff>
    </xdr:from>
    <xdr:to>
      <xdr:col>1</xdr:col>
      <xdr:colOff>1729806</xdr:colOff>
      <xdr:row>41</xdr:row>
      <xdr:rowOff>172735</xdr:rowOff>
    </xdr:to>
    <xdr:pic>
      <xdr:nvPicPr>
        <xdr:cNvPr id="53" name="Picture 52">
          <a:extLst>
            <a:ext uri="{FF2B5EF4-FFF2-40B4-BE49-F238E27FC236}">
              <a16:creationId xmlns:a16="http://schemas.microsoft.com/office/drawing/2014/main" id="{122CAD91-5CE4-3E1D-B028-2208734A4682}"/>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t="7205" b="20953"/>
        <a:stretch/>
      </xdr:blipFill>
      <xdr:spPr>
        <a:xfrm rot="16200000">
          <a:off x="784472" y="5969817"/>
          <a:ext cx="2213297" cy="1404000"/>
        </a:xfrm>
        <a:prstGeom prst="rect">
          <a:avLst/>
        </a:prstGeom>
      </xdr:spPr>
    </xdr:pic>
    <xdr:clientData/>
  </xdr:twoCellAnchor>
  <xdr:twoCellAnchor editAs="oneCell">
    <xdr:from>
      <xdr:col>1</xdr:col>
      <xdr:colOff>339759</xdr:colOff>
      <xdr:row>11</xdr:row>
      <xdr:rowOff>3085</xdr:rowOff>
    </xdr:from>
    <xdr:to>
      <xdr:col>1</xdr:col>
      <xdr:colOff>1743758</xdr:colOff>
      <xdr:row>30</xdr:row>
      <xdr:rowOff>0</xdr:rowOff>
    </xdr:to>
    <xdr:pic>
      <xdr:nvPicPr>
        <xdr:cNvPr id="57" name="Picture 56">
          <a:extLst>
            <a:ext uri="{FF2B5EF4-FFF2-40B4-BE49-F238E27FC236}">
              <a16:creationId xmlns:a16="http://schemas.microsoft.com/office/drawing/2014/main" id="{DD2CBAD0-E3C0-2AC8-4CA0-43A2CBB46CE4}"/>
            </a:ext>
          </a:extLst>
        </xdr:cNvPr>
        <xdr:cNvPicPr>
          <a:picLocks noChangeAspect="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20775" t="70983" r="16903"/>
        <a:stretch/>
      </xdr:blipFill>
      <xdr:spPr>
        <a:xfrm rot="16200000">
          <a:off x="198632" y="2983741"/>
          <a:ext cx="3411537" cy="1403999"/>
        </a:xfrm>
        <a:prstGeom prst="rect">
          <a:avLst/>
        </a:prstGeom>
      </xdr:spPr>
    </xdr:pic>
    <xdr:clientData/>
  </xdr:twoCellAnchor>
  <xdr:twoCellAnchor editAs="oneCell">
    <xdr:from>
      <xdr:col>1</xdr:col>
      <xdr:colOff>427850</xdr:colOff>
      <xdr:row>1</xdr:row>
      <xdr:rowOff>146177</xdr:rowOff>
    </xdr:from>
    <xdr:to>
      <xdr:col>1</xdr:col>
      <xdr:colOff>1729805</xdr:colOff>
      <xdr:row>12</xdr:row>
      <xdr:rowOff>69910</xdr:rowOff>
    </xdr:to>
    <xdr:pic>
      <xdr:nvPicPr>
        <xdr:cNvPr id="59" name="Picture 58">
          <a:extLst>
            <a:ext uri="{FF2B5EF4-FFF2-40B4-BE49-F238E27FC236}">
              <a16:creationId xmlns:a16="http://schemas.microsoft.com/office/drawing/2014/main" id="{A2857B97-ECA6-241C-076A-561276BC460F}"/>
            </a:ext>
          </a:extLst>
        </xdr:cNvPr>
        <xdr:cNvPicPr>
          <a:picLocks noChangeAspect="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l="40249" t="19463" r="36166" b="19329"/>
        <a:stretch/>
      </xdr:blipFill>
      <xdr:spPr>
        <a:xfrm>
          <a:off x="1290492" y="325894"/>
          <a:ext cx="1301955" cy="190062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ya teja" refreshedDate="45222.462635763892" createdVersion="8" refreshedVersion="8" minRefreshableVersion="3" recordCount="5" xr:uid="{A42A0DFE-287C-422F-AC06-2F5AA0392382}">
  <cacheSource type="worksheet">
    <worksheetSource ref="H5:I10" sheet="DATA"/>
  </cacheSource>
  <cacheFields count="2">
    <cacheField name="Country" numFmtId="0">
      <sharedItems count="5">
        <s v="USA"/>
        <s v="UK"/>
        <s v="Spain"/>
        <s v="Poland"/>
        <s v="South Korea"/>
      </sharedItems>
    </cacheField>
    <cacheField name="Total Watch Time (hours)" numFmtId="3">
      <sharedItems containsSemiMixedTypes="0" containsString="0" containsNumber="1" containsInteger="1" minValue="100000" maxValue="1200000" count="5">
        <n v="1200000"/>
        <n v="300000"/>
        <n v="400000"/>
        <n v="350000"/>
        <n v="10000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ya teja" refreshedDate="45222.473726157405" createdVersion="8" refreshedVersion="8" minRefreshableVersion="3" recordCount="5" xr:uid="{85BDEDC7-FACF-44CD-ABC9-94D1A1994249}">
  <cacheSource type="worksheet">
    <worksheetSource ref="B19:E24" sheet="DATA"/>
  </cacheSource>
  <cacheFields count="7">
    <cacheField name="Title" numFmtId="0">
      <sharedItems count="5">
        <s v="&quot;Stranger Things&quot;"/>
        <s v="&quot;The Crown&quot;"/>
        <s v="&quot;Narcos&quot;"/>
        <s v="&quot;Money Heist&quot;"/>
        <s v="&quot;The Witcher&quot;"/>
      </sharedItems>
    </cacheField>
    <cacheField name="Country of Origin" numFmtId="0">
      <sharedItems count="4">
        <s v="USA"/>
        <s v="UK"/>
        <s v="Spain"/>
        <s v="Poland"/>
      </sharedItems>
    </cacheField>
    <cacheField name="Watch Time (hours)" numFmtId="3">
      <sharedItems containsSemiMixedTypes="0" containsString="0" containsNumber="1" containsInteger="1" minValue="250000" maxValue="500000"/>
    </cacheField>
    <cacheField name="Average Rating" numFmtId="0">
      <sharedItems containsSemiMixedTypes="0" containsString="0" containsNumber="1" minValue="4.5" maxValue="4.8"/>
    </cacheField>
    <cacheField name="MOST WATCHED" numFmtId="0" formula="MAX('Watch Time (hours)')" databaseField="0"/>
    <cacheField name="Field1" numFmtId="0" formula="MAX('Watch Time (hours)')" databaseField="0"/>
    <cacheField name="Field2" numFmtId="0" formula="('Watch Time (hours)')"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ya teja" refreshedDate="45222.474115856479" createdVersion="8" refreshedVersion="8" minRefreshableVersion="3" recordCount="5" xr:uid="{5E835195-BC6D-4DDB-B82D-3873CEBE48D6}">
  <cacheSource type="worksheet">
    <worksheetSource ref="H19:K24" sheet="DATA"/>
  </cacheSource>
  <cacheFields count="4">
    <cacheField name="Title" numFmtId="0">
      <sharedItems count="5">
        <s v="&quot;Bird Box&quot;"/>
        <s v="&quot;The Irishman&quot;"/>
        <s v="&quot;Parasite&quot;"/>
        <s v="&quot;The Trial of the Chicago 7&quot;"/>
        <s v="&quot;Extraction&quot;"/>
      </sharedItems>
    </cacheField>
    <cacheField name="Country of Origin" numFmtId="0">
      <sharedItems/>
    </cacheField>
    <cacheField name="Watch Time (hours)" numFmtId="3">
      <sharedItems containsSemiMixedTypes="0" containsString="0" containsNumber="1" containsInteger="1" minValue="90000" maxValue="200000"/>
    </cacheField>
    <cacheField name="Average Rating" numFmtId="0">
      <sharedItems containsSemiMixedTypes="0" containsString="0" containsNumber="1" minValue="4.2" maxValue="4.8"/>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ya teja" refreshedDate="45222.478742476851" createdVersion="8" refreshedVersion="8" minRefreshableVersion="3" recordCount="7" xr:uid="{5CBDD67F-AC7C-4E78-88D5-FA7BF687C772}">
  <cacheSource type="worksheet">
    <worksheetSource ref="K5:Q12" sheet="DATA"/>
  </cacheSource>
  <cacheFields count="7">
    <cacheField name="Year" numFmtId="0">
      <sharedItems containsSemiMixedTypes="0" containsString="0" containsNumber="1" containsInteger="1" minValue="2018" maxValue="2024" count="7">
        <n v="2018"/>
        <n v="2019"/>
        <n v="2020"/>
        <n v="2021"/>
        <n v="2022"/>
        <n v="2023"/>
        <n v="2024"/>
      </sharedItems>
    </cacheField>
    <cacheField name="Total Hours Watched" numFmtId="3">
      <sharedItems containsSemiMixedTypes="0" containsString="0" containsNumber="1" containsInteger="1" minValue="4500000" maxValue="7500000"/>
    </cacheField>
    <cacheField name="Number of Series Watched" numFmtId="0">
      <sharedItems containsSemiMixedTypes="0" containsString="0" containsNumber="1" containsInteger="1" minValue="40" maxValue="70"/>
    </cacheField>
    <cacheField name="Number of Movies Watched" numFmtId="0">
      <sharedItems containsSemiMixedTypes="0" containsString="0" containsNumber="1" containsInteger="1" minValue="120" maxValue="190"/>
    </cacheField>
    <cacheField name="Average Series Rating" numFmtId="0">
      <sharedItems containsSemiMixedTypes="0" containsString="0" containsNumber="1" minValue="4.5" maxValue="5"/>
    </cacheField>
    <cacheField name="Average Movie Rating" numFmtId="0">
      <sharedItems containsSemiMixedTypes="0" containsString="0" containsNumber="1" minValue="4.2" maxValue="4.7"/>
    </cacheField>
    <cacheField name="Number of Subscribers" numFmtId="3">
      <sharedItems containsSemiMixedTypes="0" containsString="0" containsNumber="1" containsInteger="1" minValue="180000000" maxValue="280000000"/>
    </cacheField>
  </cacheFields>
  <extLst>
    <ext xmlns:x14="http://schemas.microsoft.com/office/spreadsheetml/2009/9/main" uri="{725AE2AE-9491-48be-B2B4-4EB974FC3084}">
      <x14:pivotCacheDefinition pivotCacheId="114551190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rya teja" refreshedDate="45222.509779166663" createdVersion="8" refreshedVersion="8" minRefreshableVersion="3" recordCount="10" xr:uid="{E9C27070-B11E-42A6-A230-CEC01A94BCF1}">
  <cacheSource type="worksheet">
    <worksheetSource ref="B5:F15" sheet="DATA"/>
  </cacheSource>
  <cacheFields count="5">
    <cacheField name="Title" numFmtId="0">
      <sharedItems count="10">
        <s v="&quot;Stranger Things&quot;"/>
        <s v="&quot;The Crown&quot;"/>
        <s v="&quot;Narcos&quot;"/>
        <s v="&quot;Money Heist&quot;"/>
        <s v="&quot;The Witcher&quot;"/>
        <s v="&quot;Bird Box&quot;"/>
        <s v="&quot;The Irishman&quot;"/>
        <s v="&quot;Parasite&quot;"/>
        <s v="&quot;The Trial of the Chicago 7&quot;"/>
        <s v="&quot;Extraction&quot;"/>
      </sharedItems>
    </cacheField>
    <cacheField name="Type" numFmtId="0">
      <sharedItems count="2">
        <s v="Series"/>
        <s v="Movie"/>
      </sharedItems>
    </cacheField>
    <cacheField name="Country of Origin" numFmtId="0">
      <sharedItems count="5">
        <s v="USA"/>
        <s v="UK"/>
        <s v="Spain"/>
        <s v="Poland"/>
        <s v="South Korea"/>
      </sharedItems>
    </cacheField>
    <cacheField name="Watch Time (hours)" numFmtId="3">
      <sharedItems containsSemiMixedTypes="0" containsString="0" containsNumber="1" containsInteger="1" minValue="90000" maxValue="500000"/>
    </cacheField>
    <cacheField name="Average Rating" numFmtId="0">
      <sharedItems containsSemiMixedTypes="0" containsString="0" containsNumber="1" minValue="4.2" maxValue="4.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r>
  <r>
    <x v="1"/>
    <x v="1"/>
  </r>
  <r>
    <x v="2"/>
    <x v="2"/>
  </r>
  <r>
    <x v="3"/>
    <x v="3"/>
  </r>
  <r>
    <x v="4"/>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n v="500000"/>
    <n v="4.7"/>
  </r>
  <r>
    <x v="1"/>
    <x v="1"/>
    <n v="300000"/>
    <n v="4.5999999999999996"/>
  </r>
  <r>
    <x v="2"/>
    <x v="0"/>
    <n v="250000"/>
    <n v="4.5"/>
  </r>
  <r>
    <x v="3"/>
    <x v="2"/>
    <n v="400000"/>
    <n v="4.8"/>
  </r>
  <r>
    <x v="4"/>
    <x v="3"/>
    <n v="350000"/>
    <n v="4.599999999999999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s v="USA"/>
    <n v="150000"/>
    <n v="4.3"/>
  </r>
  <r>
    <x v="1"/>
    <s v="USA"/>
    <n v="200000"/>
    <n v="4.5"/>
  </r>
  <r>
    <x v="2"/>
    <s v="South Korea"/>
    <n v="100000"/>
    <n v="4.8"/>
  </r>
  <r>
    <x v="3"/>
    <s v="USA"/>
    <n v="90000"/>
    <n v="4.5999999999999996"/>
  </r>
  <r>
    <x v="4"/>
    <s v="USA"/>
    <n v="120000"/>
    <n v="4.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4500000"/>
    <n v="40"/>
    <n v="120"/>
    <n v="4.5"/>
    <n v="4.2"/>
    <n v="180000000"/>
  </r>
  <r>
    <x v="1"/>
    <n v="4800000"/>
    <n v="45"/>
    <n v="130"/>
    <n v="4.5999999999999996"/>
    <n v="4.3"/>
    <n v="190000000"/>
  </r>
  <r>
    <x v="2"/>
    <n v="5000000"/>
    <n v="50"/>
    <n v="150"/>
    <n v="4.5999999999999996"/>
    <n v="4.3"/>
    <n v="200000000"/>
  </r>
  <r>
    <x v="3"/>
    <n v="6000000"/>
    <n v="55"/>
    <n v="160"/>
    <n v="4.7"/>
    <n v="4.4000000000000004"/>
    <n v="220000000"/>
  </r>
  <r>
    <x v="4"/>
    <n v="6500000"/>
    <n v="60"/>
    <n v="170"/>
    <n v="4.8"/>
    <n v="4.5"/>
    <n v="240000000"/>
  </r>
  <r>
    <x v="5"/>
    <n v="7000000"/>
    <n v="65"/>
    <n v="180"/>
    <n v="4.9000000000000004"/>
    <n v="4.5999999999999996"/>
    <n v="260000000"/>
  </r>
  <r>
    <x v="6"/>
    <n v="7500000"/>
    <n v="70"/>
    <n v="190"/>
    <n v="5"/>
    <n v="4.7"/>
    <n v="2800000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500000"/>
    <n v="4.7"/>
  </r>
  <r>
    <x v="1"/>
    <x v="0"/>
    <x v="1"/>
    <n v="300000"/>
    <n v="4.5999999999999996"/>
  </r>
  <r>
    <x v="2"/>
    <x v="0"/>
    <x v="0"/>
    <n v="250000"/>
    <n v="4.5"/>
  </r>
  <r>
    <x v="3"/>
    <x v="0"/>
    <x v="2"/>
    <n v="400000"/>
    <n v="4.8"/>
  </r>
  <r>
    <x v="4"/>
    <x v="0"/>
    <x v="3"/>
    <n v="350000"/>
    <n v="4.5999999999999996"/>
  </r>
  <r>
    <x v="5"/>
    <x v="1"/>
    <x v="0"/>
    <n v="150000"/>
    <n v="4.3"/>
  </r>
  <r>
    <x v="6"/>
    <x v="1"/>
    <x v="0"/>
    <n v="200000"/>
    <n v="4.5"/>
  </r>
  <r>
    <x v="7"/>
    <x v="1"/>
    <x v="4"/>
    <n v="100000"/>
    <n v="4.8"/>
  </r>
  <r>
    <x v="8"/>
    <x v="1"/>
    <x v="0"/>
    <n v="90000"/>
    <n v="4.5999999999999996"/>
  </r>
  <r>
    <x v="9"/>
    <x v="1"/>
    <x v="0"/>
    <n v="120000"/>
    <n v="4.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BCE3A3-E406-4AF2-AB61-C6F3F7904A19}" name="PivotTable13"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3:C15" firstHeaderRow="0" firstDataRow="1" firstDataCol="1"/>
  <pivotFields count="7">
    <pivotField axis="axisRow" showAll="0">
      <items count="8">
        <item x="0"/>
        <item h="1" x="1"/>
        <item x="2"/>
        <item h="1" x="3"/>
        <item h="1" x="4"/>
        <item h="1" x="5"/>
        <item h="1" x="6"/>
        <item t="default"/>
      </items>
    </pivotField>
    <pivotField numFmtId="3" showAll="0"/>
    <pivotField showAll="0"/>
    <pivotField showAll="0"/>
    <pivotField dataField="1" showAll="0"/>
    <pivotField dataField="1" showAll="0"/>
    <pivotField numFmtId="3" showAll="0"/>
  </pivotFields>
  <rowFields count="1">
    <field x="0"/>
  </rowFields>
  <rowItems count="2">
    <i>
      <x/>
    </i>
    <i>
      <x v="2"/>
    </i>
  </rowItems>
  <colFields count="1">
    <field x="-2"/>
  </colFields>
  <colItems count="2">
    <i>
      <x/>
    </i>
    <i i="1">
      <x v="1"/>
    </i>
  </colItems>
  <dataFields count="2">
    <dataField name="Sum of Average Movie Rating" fld="5" baseField="0" baseItem="0"/>
    <dataField name="Sum of Average Series Rating"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94A8B9-A9A2-4ABF-BD37-5A61280B5967}" name="PivotTable12"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YEAR">
  <location ref="A3:B5" firstHeaderRow="1" firstDataRow="1" firstDataCol="1"/>
  <pivotFields count="7">
    <pivotField axis="axisRow" showAll="0">
      <items count="8">
        <item x="0"/>
        <item h="1" x="1"/>
        <item x="2"/>
        <item h="1" x="3"/>
        <item h="1" x="4"/>
        <item h="1" x="5"/>
        <item h="1" x="6"/>
        <item t="default"/>
      </items>
    </pivotField>
    <pivotField numFmtId="3" showAll="0"/>
    <pivotField showAll="0"/>
    <pivotField showAll="0"/>
    <pivotField showAll="0"/>
    <pivotField showAll="0"/>
    <pivotField dataField="1" numFmtId="3" showAll="0"/>
  </pivotFields>
  <rowFields count="1">
    <field x="0"/>
  </rowFields>
  <rowItems count="2">
    <i>
      <x/>
    </i>
    <i>
      <x v="2"/>
    </i>
  </rowItems>
  <colItems count="1">
    <i/>
  </colItems>
  <dataFields count="1">
    <dataField name="Sum of Number of Subscribers" fld="6"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F7025A-3109-4248-B371-43FC48870A50}" name="PivotTable19"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A25:C27" firstHeaderRow="0" firstDataRow="1" firstDataCol="1"/>
  <pivotFields count="7">
    <pivotField axis="axisRow" showAll="0">
      <items count="8">
        <item x="0"/>
        <item h="1" x="1"/>
        <item x="2"/>
        <item h="1" x="3"/>
        <item h="1" x="4"/>
        <item h="1" x="5"/>
        <item h="1" x="6"/>
        <item t="default"/>
      </items>
    </pivotField>
    <pivotField numFmtId="3" showAll="0"/>
    <pivotField dataField="1" showAll="0"/>
    <pivotField dataField="1" showAll="0"/>
    <pivotField showAll="0"/>
    <pivotField showAll="0"/>
    <pivotField numFmtId="3" showAll="0"/>
  </pivotFields>
  <rowFields count="1">
    <field x="0"/>
  </rowFields>
  <rowItems count="2">
    <i>
      <x/>
    </i>
    <i>
      <x v="2"/>
    </i>
  </rowItems>
  <colFields count="1">
    <field x="-2"/>
  </colFields>
  <colItems count="2">
    <i>
      <x/>
    </i>
    <i i="1">
      <x v="1"/>
    </i>
  </colItems>
  <dataFields count="2">
    <dataField name="Sum of Number of Series Watched" fld="2" baseField="0" baseItem="0"/>
    <dataField name="Sum of Number of Movies Watche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5E5601-7B8C-40C2-89A8-94B822C4C156}" name="PivotTable18"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rowHeaderCaption="YEAR">
  <location ref="A19:B21" firstHeaderRow="1" firstDataRow="1" firstDataCol="1"/>
  <pivotFields count="7">
    <pivotField axis="axisRow" showAll="0">
      <items count="8">
        <item x="0"/>
        <item h="1" x="1"/>
        <item x="2"/>
        <item h="1" x="3"/>
        <item h="1" x="4"/>
        <item h="1" x="5"/>
        <item h="1" x="6"/>
        <item t="default"/>
      </items>
    </pivotField>
    <pivotField dataField="1" numFmtId="3" showAll="0"/>
    <pivotField showAll="0"/>
    <pivotField showAll="0"/>
    <pivotField showAll="0"/>
    <pivotField showAll="0"/>
    <pivotField numFmtId="3" showAll="0"/>
  </pivotFields>
  <rowFields count="1">
    <field x="0"/>
  </rowFields>
  <rowItems count="2">
    <i>
      <x/>
    </i>
    <i>
      <x v="2"/>
    </i>
  </rowItems>
  <colItems count="1">
    <i/>
  </colItems>
  <dataFields count="1">
    <dataField name="HOURS" fld="1" baseField="0" baseItem="1"/>
  </dataFields>
  <chartFormats count="7">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0" count="1" selected="0">
            <x v="1"/>
          </reference>
        </references>
      </pivotArea>
    </chartFormat>
    <chartFormat chart="5" format="8">
      <pivotArea type="data" outline="0" fieldPosition="0">
        <references count="2">
          <reference field="4294967294" count="1" selected="0">
            <x v="0"/>
          </reference>
          <reference field="0" count="1" selected="0">
            <x v="2"/>
          </reference>
        </references>
      </pivotArea>
    </chartFormat>
    <chartFormat chart="5" format="9">
      <pivotArea type="data" outline="0" fieldPosition="0">
        <references count="2">
          <reference field="4294967294" count="1" selected="0">
            <x v="0"/>
          </reference>
          <reference field="0" count="1" selected="0">
            <x v="3"/>
          </reference>
        </references>
      </pivotArea>
    </chartFormat>
    <chartFormat chart="5" format="10">
      <pivotArea type="data" outline="0" fieldPosition="0">
        <references count="2">
          <reference field="4294967294" count="1" selected="0">
            <x v="0"/>
          </reference>
          <reference field="0" count="1" selected="0">
            <x v="6"/>
          </reference>
        </references>
      </pivotArea>
    </chartFormat>
    <chartFormat chart="5" format="11">
      <pivotArea type="data" outline="0" fieldPosition="0">
        <references count="2">
          <reference field="4294967294" count="1" selected="0">
            <x v="0"/>
          </reference>
          <reference field="0" count="1" selected="0">
            <x v="4"/>
          </reference>
        </references>
      </pivotArea>
    </chartFormat>
    <chartFormat chart="5" format="12">
      <pivotArea type="data" outline="0" fieldPosition="0">
        <references count="2">
          <reference field="4294967294" count="1" selected="0">
            <x v="0"/>
          </reference>
          <reference field="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CC1966-5A86-421B-82B5-8D393B1B78C9}" name="PivotTable2"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TITLE">
  <location ref="D3:E13" firstHeaderRow="1" firstDataRow="1" firstDataCol="1"/>
  <pivotFields count="5">
    <pivotField axis="axisRow" showAll="0">
      <items count="11">
        <item x="5"/>
        <item x="9"/>
        <item x="3"/>
        <item x="2"/>
        <item x="7"/>
        <item x="0"/>
        <item x="1"/>
        <item x="6"/>
        <item x="8"/>
        <item x="4"/>
        <item t="default"/>
      </items>
    </pivotField>
    <pivotField showAll="0"/>
    <pivotField showAll="0"/>
    <pivotField numFmtId="3" showAll="0"/>
    <pivotField dataField="1" showAll="0"/>
  </pivotFields>
  <rowFields count="1">
    <field x="0"/>
  </rowFields>
  <rowItems count="10">
    <i>
      <x/>
    </i>
    <i>
      <x v="1"/>
    </i>
    <i>
      <x v="2"/>
    </i>
    <i>
      <x v="3"/>
    </i>
    <i>
      <x v="4"/>
    </i>
    <i>
      <x v="5"/>
    </i>
    <i>
      <x v="6"/>
    </i>
    <i>
      <x v="7"/>
    </i>
    <i>
      <x v="8"/>
    </i>
    <i>
      <x v="9"/>
    </i>
  </rowItems>
  <colItems count="1">
    <i/>
  </colItems>
  <dataFields count="1">
    <dataField name="HIGHEST RATING" fld="4"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0281A62-ADA3-48BB-B13F-48E97B0CD399}" name="PivotTable1"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TITLE">
  <location ref="A3:B13" firstHeaderRow="1" firstDataRow="1" firstDataCol="1"/>
  <pivotFields count="5">
    <pivotField axis="axisRow" showAll="0" sortType="ascending">
      <items count="11">
        <item x="5"/>
        <item x="9"/>
        <item x="3"/>
        <item x="2"/>
        <item x="7"/>
        <item x="0"/>
        <item x="1"/>
        <item x="6"/>
        <item x="8"/>
        <item x="4"/>
        <item t="default"/>
      </items>
    </pivotField>
    <pivotField showAll="0"/>
    <pivotField showAll="0"/>
    <pivotField dataField="1" numFmtId="3" showAll="0"/>
    <pivotField showAll="0"/>
  </pivotFields>
  <rowFields count="1">
    <field x="0"/>
  </rowFields>
  <rowItems count="10">
    <i>
      <x/>
    </i>
    <i>
      <x v="1"/>
    </i>
    <i>
      <x v="2"/>
    </i>
    <i>
      <x v="3"/>
    </i>
    <i>
      <x v="4"/>
    </i>
    <i>
      <x v="5"/>
    </i>
    <i>
      <x v="6"/>
    </i>
    <i>
      <x v="7"/>
    </i>
    <i>
      <x v="8"/>
    </i>
    <i>
      <x v="9"/>
    </i>
  </rowItems>
  <colItems count="1">
    <i/>
  </colItems>
  <dataFields count="1">
    <dataField name="Max of Watch Time (hours)" fld="3" subtotal="max"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5E2463A-B121-41C3-82CD-8CF1FECB8C2F}" name="PivotTable9"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D17:E22" firstHeaderRow="1" firstDataRow="1" firstDataCol="1"/>
  <pivotFields count="4">
    <pivotField axis="axisRow" showAll="0" sortType="descending">
      <items count="6">
        <item x="0"/>
        <item x="4"/>
        <item x="2"/>
        <item x="1"/>
        <item x="3"/>
        <item t="default"/>
      </items>
      <autoSortScope>
        <pivotArea dataOnly="0" outline="0" fieldPosition="0">
          <references count="1">
            <reference field="4294967294" count="1" selected="0">
              <x v="0"/>
            </reference>
          </references>
        </pivotArea>
      </autoSortScope>
    </pivotField>
    <pivotField showAll="0"/>
    <pivotField dataField="1" numFmtId="3" showAll="0"/>
    <pivotField showAll="0"/>
  </pivotFields>
  <rowFields count="1">
    <field x="0"/>
  </rowFields>
  <rowItems count="5">
    <i>
      <x v="3"/>
    </i>
    <i>
      <x/>
    </i>
    <i>
      <x v="1"/>
    </i>
    <i>
      <x v="2"/>
    </i>
    <i>
      <x v="4"/>
    </i>
  </rowItems>
  <colItems count="1">
    <i/>
  </colItems>
  <dataFields count="1">
    <dataField name="Sum of Watch Time (hour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7D1AFCB-F666-491E-A956-B6E0BBAAC637}" name="PivotTable8"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7:B22" firstHeaderRow="1" firstDataRow="1" firstDataCol="1"/>
  <pivotFields count="7">
    <pivotField axis="axisRow" showAll="0" sortType="descending">
      <items count="6">
        <item x="3"/>
        <item x="2"/>
        <item x="0"/>
        <item x="1"/>
        <item x="4"/>
        <item t="default"/>
      </items>
      <autoSortScope>
        <pivotArea dataOnly="0" outline="0" fieldPosition="0">
          <references count="1">
            <reference field="4294967294" count="1" selected="0">
              <x v="0"/>
            </reference>
          </references>
        </pivotArea>
      </autoSortScope>
    </pivotField>
    <pivotField showAll="0">
      <items count="5">
        <item x="3"/>
        <item x="2"/>
        <item x="1"/>
        <item x="0"/>
        <item t="default"/>
      </items>
    </pivotField>
    <pivotField dataField="1" numFmtId="3" showAll="0"/>
    <pivotField showAll="0"/>
    <pivotField dragToRow="0" dragToCol="0" dragToPage="0" showAll="0" defaultSubtotal="0"/>
    <pivotField dragToRow="0" dragToCol="0" dragToPage="0" showAll="0" defaultSubtotal="0"/>
    <pivotField dragToRow="0" dragToCol="0" dragToPage="0" showAll="0" defaultSubtotal="0"/>
  </pivotFields>
  <rowFields count="1">
    <field x="0"/>
  </rowFields>
  <rowItems count="5">
    <i>
      <x v="2"/>
    </i>
    <i>
      <x/>
    </i>
    <i>
      <x v="4"/>
    </i>
    <i>
      <x v="3"/>
    </i>
    <i>
      <x v="1"/>
    </i>
  </rowItems>
  <colItems count="1">
    <i/>
  </colItems>
  <dataFields count="1">
    <dataField name="Sum of Watch Time (hour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E186003-CC4C-41B1-AB1D-8E77D0291506}"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COUNTRY">
  <location ref="G3:H8" firstHeaderRow="1" firstDataRow="1" firstDataCol="1"/>
  <pivotFields count="2">
    <pivotField axis="axisRow" showAll="0">
      <items count="6">
        <item x="3"/>
        <item x="4"/>
        <item x="2"/>
        <item x="1"/>
        <item x="0"/>
        <item t="default"/>
      </items>
    </pivotField>
    <pivotField dataField="1" numFmtId="3" showAll="0">
      <items count="6">
        <item x="4"/>
        <item x="1"/>
        <item x="3"/>
        <item x="2"/>
        <item x="0"/>
        <item t="default"/>
      </items>
    </pivotField>
  </pivotFields>
  <rowFields count="1">
    <field x="0"/>
  </rowFields>
  <rowItems count="5">
    <i>
      <x/>
    </i>
    <i>
      <x v="1"/>
    </i>
    <i>
      <x v="2"/>
    </i>
    <i>
      <x v="3"/>
    </i>
    <i>
      <x v="4"/>
    </i>
  </rowItems>
  <colItems count="1">
    <i/>
  </colItems>
  <dataFields count="1">
    <dataField name="Sum of Total Watch Time (hours)" fld="1"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64350C0-A2DC-4F06-BEC1-788B36398248}" name="PivotTable3" cacheId="4" applyNumberFormats="0" applyBorderFormats="0" applyFontFormats="0" applyPatternFormats="0" applyAlignmentFormats="0" applyWidthHeightFormats="1" dataCaption="Values" updatedVersion="8" minRefreshableVersion="3" useAutoFormatting="1" itemPrintTitles="1" createdVersion="8" indent="0" compact="0" compactData="0">
  <location ref="C4:D6" firstHeaderRow="1" firstDataRow="1" firstDataCol="1"/>
  <pivotFields count="5">
    <pivotField compact="0" outline="0" showAll="0"/>
    <pivotField compact="0" outline="0" showAll="0"/>
    <pivotField name="Country " axis="axisRow" compact="0" outline="0" showAll="0" measureFilter="1" sortType="descending">
      <items count="6">
        <item x="3"/>
        <item x="4"/>
        <item x="2"/>
        <item x="1"/>
        <item x="0"/>
        <item t="default"/>
      </items>
      <autoSortScope>
        <pivotArea dataOnly="0" outline="0" fieldPosition="0">
          <references count="1">
            <reference field="4294967294" count="1" selected="0">
              <x v="0"/>
            </reference>
          </references>
        </pivotArea>
      </autoSortScope>
    </pivotField>
    <pivotField dataField="1" compact="0" numFmtId="3" outline="0" showAll="0"/>
    <pivotField compact="0" outline="0" showAll="0"/>
  </pivotFields>
  <rowFields count="1">
    <field x="2"/>
  </rowFields>
  <rowItems count="2">
    <i>
      <x v="2"/>
    </i>
    <i t="grand">
      <x/>
    </i>
  </rowItems>
  <colItems count="1">
    <i/>
  </colItems>
  <dataFields count="1">
    <dataField name="Most Watched Time (hours)" fld="3" subtotal="average" baseField="2" baseItem="2" numFmtId="3"/>
  </dataField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7F0DE4C-0FB9-4D4D-BC9B-83783C7D8105}" sourceName="Year">
  <pivotTables>
    <pivotTable tabId="8" name="PivotTable13"/>
    <pivotTable tabId="8" name="PivotTable12"/>
    <pivotTable tabId="8" name="PivotTable18"/>
    <pivotTable tabId="8" name="PivotTable19"/>
  </pivotTables>
  <data>
    <tabular pivotCacheId="1145511901">
      <items count="7">
        <i x="0" s="1"/>
        <i x="1"/>
        <i x="2" s="1"/>
        <i x="3"/>
        <i x="4"/>
        <i x="5"/>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C1BB753-4DEB-400D-8B94-690A16CF36A9}" cache="Slicer_Year" caption="Year" showCaption="0" style="Slicer Style 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0FC5A-4B46-41B4-81E9-0D0FDEEF8082}">
  <sheetPr codeName="Sheet1"/>
  <dimension ref="A3:C27"/>
  <sheetViews>
    <sheetView topLeftCell="A11" workbookViewId="0">
      <selection activeCell="A19" sqref="A19:B23"/>
    </sheetView>
  </sheetViews>
  <sheetFormatPr defaultRowHeight="14.5" x14ac:dyDescent="0.35"/>
  <cols>
    <col min="1" max="1" width="7.36328125" bestFit="1" customWidth="1"/>
    <col min="2" max="2" width="29.90625" bestFit="1" customWidth="1"/>
    <col min="3" max="5" width="31" bestFit="1" customWidth="1"/>
  </cols>
  <sheetData>
    <row r="3" spans="1:3" x14ac:dyDescent="0.35">
      <c r="A3" s="17" t="s">
        <v>51</v>
      </c>
      <c r="B3" t="s">
        <v>44</v>
      </c>
    </row>
    <row r="4" spans="1:3" x14ac:dyDescent="0.35">
      <c r="A4" s="18">
        <v>2018</v>
      </c>
      <c r="B4" s="23">
        <v>180000000</v>
      </c>
    </row>
    <row r="5" spans="1:3" x14ac:dyDescent="0.35">
      <c r="A5" s="18">
        <v>2020</v>
      </c>
      <c r="B5" s="23">
        <v>200000000</v>
      </c>
    </row>
    <row r="13" spans="1:3" x14ac:dyDescent="0.35">
      <c r="A13" s="17" t="s">
        <v>33</v>
      </c>
      <c r="B13" t="s">
        <v>46</v>
      </c>
      <c r="C13" t="s">
        <v>47</v>
      </c>
    </row>
    <row r="14" spans="1:3" x14ac:dyDescent="0.35">
      <c r="A14" s="18">
        <v>2018</v>
      </c>
      <c r="B14" s="23">
        <v>4.2</v>
      </c>
      <c r="C14" s="23">
        <v>4.5</v>
      </c>
    </row>
    <row r="15" spans="1:3" x14ac:dyDescent="0.35">
      <c r="A15" s="18">
        <v>2020</v>
      </c>
      <c r="B15" s="23">
        <v>4.3</v>
      </c>
      <c r="C15" s="23">
        <v>4.5999999999999996</v>
      </c>
    </row>
    <row r="19" spans="1:3" x14ac:dyDescent="0.35">
      <c r="A19" s="17" t="s">
        <v>51</v>
      </c>
      <c r="B19" t="s">
        <v>52</v>
      </c>
    </row>
    <row r="20" spans="1:3" x14ac:dyDescent="0.35">
      <c r="A20" s="18">
        <v>2018</v>
      </c>
      <c r="B20" s="23">
        <v>4500000</v>
      </c>
    </row>
    <row r="21" spans="1:3" x14ac:dyDescent="0.35">
      <c r="A21" s="18">
        <v>2020</v>
      </c>
      <c r="B21" s="23">
        <v>5000000</v>
      </c>
    </row>
    <row r="25" spans="1:3" x14ac:dyDescent="0.35">
      <c r="A25" s="17" t="s">
        <v>51</v>
      </c>
      <c r="B25" t="s">
        <v>43</v>
      </c>
      <c r="C25" t="s">
        <v>45</v>
      </c>
    </row>
    <row r="26" spans="1:3" x14ac:dyDescent="0.35">
      <c r="A26" s="18">
        <v>2018</v>
      </c>
      <c r="B26" s="23">
        <v>40</v>
      </c>
      <c r="C26" s="23">
        <v>120</v>
      </c>
    </row>
    <row r="27" spans="1:3" x14ac:dyDescent="0.35">
      <c r="A27" s="18">
        <v>2020</v>
      </c>
      <c r="B27" s="23">
        <v>50</v>
      </c>
      <c r="C27" s="23">
        <v>150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0809F-A122-4A59-9A22-3D5131C70C16}">
  <sheetPr codeName="Sheet2"/>
  <dimension ref="B4:Q29"/>
  <sheetViews>
    <sheetView topLeftCell="A2" zoomScale="73" workbookViewId="0">
      <selection activeCell="M16" sqref="M16"/>
    </sheetView>
  </sheetViews>
  <sheetFormatPr defaultRowHeight="14.5" x14ac:dyDescent="0.35"/>
  <cols>
    <col min="2" max="2" width="25.54296875" bestFit="1" customWidth="1"/>
    <col min="3" max="3" width="7.90625" bestFit="1" customWidth="1"/>
    <col min="4" max="4" width="8.453125" bestFit="1" customWidth="1"/>
    <col min="5" max="5" width="7.54296875" bestFit="1" customWidth="1"/>
    <col min="6" max="6" width="7.7265625" bestFit="1" customWidth="1"/>
    <col min="8" max="8" width="7.54296875" bestFit="1" customWidth="1"/>
    <col min="9" max="9" width="15.26953125" customWidth="1"/>
    <col min="17" max="17" width="10.453125" bestFit="1" customWidth="1"/>
  </cols>
  <sheetData>
    <row r="4" spans="2:17" ht="15" thickBot="1" x14ac:dyDescent="0.4"/>
    <row r="5" spans="2:17" ht="54.5" thickBot="1" x14ac:dyDescent="0.4">
      <c r="B5" s="14" t="s">
        <v>0</v>
      </c>
      <c r="C5" s="14" t="s">
        <v>1</v>
      </c>
      <c r="D5" s="14" t="s">
        <v>2</v>
      </c>
      <c r="E5" s="14" t="s">
        <v>3</v>
      </c>
      <c r="F5" s="15" t="s">
        <v>4</v>
      </c>
      <c r="H5" s="14" t="s">
        <v>23</v>
      </c>
      <c r="I5" s="15" t="s">
        <v>24</v>
      </c>
      <c r="K5" s="9" t="s">
        <v>26</v>
      </c>
      <c r="L5" s="9" t="s">
        <v>27</v>
      </c>
      <c r="M5" s="9" t="s">
        <v>28</v>
      </c>
      <c r="N5" s="9" t="s">
        <v>29</v>
      </c>
      <c r="O5" s="9" t="s">
        <v>30</v>
      </c>
      <c r="P5" s="9" t="s">
        <v>31</v>
      </c>
      <c r="Q5" s="10" t="s">
        <v>32</v>
      </c>
    </row>
    <row r="6" spans="2:17" ht="15" thickBot="1" x14ac:dyDescent="0.4">
      <c r="B6" s="1" t="s">
        <v>5</v>
      </c>
      <c r="C6" s="1" t="s">
        <v>6</v>
      </c>
      <c r="D6" s="1" t="s">
        <v>7</v>
      </c>
      <c r="E6" s="3">
        <v>500000</v>
      </c>
      <c r="F6" s="4">
        <v>4.7</v>
      </c>
      <c r="H6" s="1" t="s">
        <v>7</v>
      </c>
      <c r="I6" s="7">
        <v>1200000</v>
      </c>
      <c r="K6" s="11">
        <v>2018</v>
      </c>
      <c r="L6" s="12">
        <v>4500000</v>
      </c>
      <c r="M6" s="11">
        <v>40</v>
      </c>
      <c r="N6" s="11">
        <v>120</v>
      </c>
      <c r="O6" s="11">
        <v>4.5</v>
      </c>
      <c r="P6" s="11">
        <v>4.2</v>
      </c>
      <c r="Q6" s="13">
        <v>180000000</v>
      </c>
    </row>
    <row r="7" spans="2:17" ht="15" thickBot="1" x14ac:dyDescent="0.4">
      <c r="B7" s="1" t="s">
        <v>8</v>
      </c>
      <c r="C7" s="1" t="s">
        <v>6</v>
      </c>
      <c r="D7" s="1" t="s">
        <v>9</v>
      </c>
      <c r="E7" s="3">
        <v>300000</v>
      </c>
      <c r="F7" s="4">
        <v>4.5999999999999996</v>
      </c>
      <c r="H7" s="1" t="s">
        <v>9</v>
      </c>
      <c r="I7" s="7">
        <v>300000</v>
      </c>
      <c r="K7" s="11">
        <v>2019</v>
      </c>
      <c r="L7" s="12">
        <v>4800000</v>
      </c>
      <c r="M7" s="11">
        <v>45</v>
      </c>
      <c r="N7" s="11">
        <v>130</v>
      </c>
      <c r="O7" s="11">
        <v>4.5999999999999996</v>
      </c>
      <c r="P7" s="11">
        <v>4.3</v>
      </c>
      <c r="Q7" s="13">
        <v>190000000</v>
      </c>
    </row>
    <row r="8" spans="2:17" ht="15" thickBot="1" x14ac:dyDescent="0.4">
      <c r="B8" s="1" t="s">
        <v>10</v>
      </c>
      <c r="C8" s="1" t="s">
        <v>6</v>
      </c>
      <c r="D8" s="1" t="s">
        <v>7</v>
      </c>
      <c r="E8" s="3">
        <v>250000</v>
      </c>
      <c r="F8" s="4">
        <v>4.5</v>
      </c>
      <c r="H8" s="1" t="s">
        <v>12</v>
      </c>
      <c r="I8" s="7">
        <v>400000</v>
      </c>
      <c r="K8" s="11">
        <v>2020</v>
      </c>
      <c r="L8" s="12">
        <v>5000000</v>
      </c>
      <c r="M8" s="11">
        <v>50</v>
      </c>
      <c r="N8" s="11">
        <v>150</v>
      </c>
      <c r="O8" s="11">
        <v>4.5999999999999996</v>
      </c>
      <c r="P8" s="11">
        <v>4.3</v>
      </c>
      <c r="Q8" s="13">
        <v>200000000</v>
      </c>
    </row>
    <row r="9" spans="2:17" ht="15" thickBot="1" x14ac:dyDescent="0.4">
      <c r="B9" s="1" t="s">
        <v>11</v>
      </c>
      <c r="C9" s="1" t="s">
        <v>6</v>
      </c>
      <c r="D9" s="1" t="s">
        <v>12</v>
      </c>
      <c r="E9" s="3">
        <v>400000</v>
      </c>
      <c r="F9" s="4">
        <v>4.8</v>
      </c>
      <c r="H9" s="1" t="s">
        <v>14</v>
      </c>
      <c r="I9" s="7">
        <v>350000</v>
      </c>
      <c r="K9" s="11">
        <v>2021</v>
      </c>
      <c r="L9" s="12">
        <v>6000000</v>
      </c>
      <c r="M9" s="11">
        <v>55</v>
      </c>
      <c r="N9" s="11">
        <v>160</v>
      </c>
      <c r="O9" s="11">
        <v>4.7</v>
      </c>
      <c r="P9" s="11">
        <v>4.4000000000000004</v>
      </c>
      <c r="Q9" s="13">
        <v>220000000</v>
      </c>
    </row>
    <row r="10" spans="2:17" ht="27.5" thickBot="1" x14ac:dyDescent="0.4">
      <c r="B10" s="1" t="s">
        <v>13</v>
      </c>
      <c r="C10" s="1" t="s">
        <v>6</v>
      </c>
      <c r="D10" s="1" t="s">
        <v>14</v>
      </c>
      <c r="E10" s="3">
        <v>350000</v>
      </c>
      <c r="F10" s="4">
        <v>4.5999999999999996</v>
      </c>
      <c r="H10" s="1" t="s">
        <v>19</v>
      </c>
      <c r="I10" s="7">
        <v>100000</v>
      </c>
      <c r="K10" s="11">
        <v>2022</v>
      </c>
      <c r="L10" s="12">
        <v>6500000</v>
      </c>
      <c r="M10" s="11">
        <v>60</v>
      </c>
      <c r="N10" s="11">
        <v>170</v>
      </c>
      <c r="O10" s="11">
        <v>4.8</v>
      </c>
      <c r="P10" s="11">
        <v>4.5</v>
      </c>
      <c r="Q10" s="13">
        <v>240000000</v>
      </c>
    </row>
    <row r="11" spans="2:17" ht="15" thickBot="1" x14ac:dyDescent="0.4">
      <c r="B11" s="1" t="s">
        <v>15</v>
      </c>
      <c r="C11" s="1" t="s">
        <v>16</v>
      </c>
      <c r="D11" s="1" t="s">
        <v>7</v>
      </c>
      <c r="E11" s="3">
        <v>150000</v>
      </c>
      <c r="F11" s="4">
        <v>4.3</v>
      </c>
      <c r="K11" s="11">
        <v>2023</v>
      </c>
      <c r="L11" s="12">
        <v>7000000</v>
      </c>
      <c r="M11" s="11">
        <v>65</v>
      </c>
      <c r="N11" s="11">
        <v>180</v>
      </c>
      <c r="O11" s="11">
        <v>4.9000000000000004</v>
      </c>
      <c r="P11" s="11">
        <v>4.5999999999999996</v>
      </c>
      <c r="Q11" s="13">
        <v>260000000</v>
      </c>
    </row>
    <row r="12" spans="2:17" ht="15" thickBot="1" x14ac:dyDescent="0.4">
      <c r="B12" s="1" t="s">
        <v>17</v>
      </c>
      <c r="C12" s="1" t="s">
        <v>16</v>
      </c>
      <c r="D12" s="1" t="s">
        <v>7</v>
      </c>
      <c r="E12" s="3">
        <v>200000</v>
      </c>
      <c r="F12" s="4">
        <v>4.5</v>
      </c>
      <c r="K12" s="11">
        <v>2024</v>
      </c>
      <c r="L12" s="12">
        <v>7500000</v>
      </c>
      <c r="M12" s="11">
        <v>70</v>
      </c>
      <c r="N12" s="11">
        <v>190</v>
      </c>
      <c r="O12" s="11">
        <v>5</v>
      </c>
      <c r="P12" s="11">
        <v>4.7</v>
      </c>
      <c r="Q12" s="13">
        <v>280000000</v>
      </c>
    </row>
    <row r="13" spans="2:17" ht="27.5" thickBot="1" x14ac:dyDescent="0.4">
      <c r="B13" s="1" t="s">
        <v>18</v>
      </c>
      <c r="C13" s="1" t="s">
        <v>16</v>
      </c>
      <c r="D13" s="1" t="s">
        <v>19</v>
      </c>
      <c r="E13" s="3">
        <v>100000</v>
      </c>
      <c r="F13" s="4">
        <v>4.8</v>
      </c>
    </row>
    <row r="14" spans="2:17" ht="15" thickBot="1" x14ac:dyDescent="0.4">
      <c r="B14" s="1" t="s">
        <v>20</v>
      </c>
      <c r="C14" s="1" t="s">
        <v>16</v>
      </c>
      <c r="D14" s="1" t="s">
        <v>7</v>
      </c>
      <c r="E14" s="3">
        <v>90000</v>
      </c>
      <c r="F14" s="4">
        <v>4.5999999999999996</v>
      </c>
    </row>
    <row r="15" spans="2:17" ht="15" thickBot="1" x14ac:dyDescent="0.4">
      <c r="B15" s="1" t="s">
        <v>21</v>
      </c>
      <c r="C15" s="1" t="s">
        <v>16</v>
      </c>
      <c r="D15" s="1" t="s">
        <v>7</v>
      </c>
      <c r="E15" s="3">
        <v>120000</v>
      </c>
      <c r="F15" s="4">
        <v>4.2</v>
      </c>
      <c r="L15" s="2"/>
      <c r="Q15" s="2"/>
    </row>
    <row r="16" spans="2:17" x14ac:dyDescent="0.35">
      <c r="B16" s="5"/>
      <c r="L16" s="2"/>
      <c r="Q16" s="2"/>
    </row>
    <row r="17" spans="2:17" x14ac:dyDescent="0.35">
      <c r="B17" s="5"/>
      <c r="L17" s="2"/>
      <c r="Q17" s="2"/>
    </row>
    <row r="18" spans="2:17" ht="21.5" thickBot="1" x14ac:dyDescent="0.4">
      <c r="B18" s="6" t="s">
        <v>22</v>
      </c>
      <c r="L18" s="2"/>
      <c r="Q18" s="2"/>
    </row>
    <row r="19" spans="2:17" ht="41" thickBot="1" x14ac:dyDescent="0.4">
      <c r="B19" s="9" t="s">
        <v>0</v>
      </c>
      <c r="C19" s="9" t="s">
        <v>2</v>
      </c>
      <c r="D19" s="9" t="s">
        <v>3</v>
      </c>
      <c r="E19" s="10" t="s">
        <v>4</v>
      </c>
      <c r="H19" s="9" t="s">
        <v>0</v>
      </c>
      <c r="I19" s="9" t="s">
        <v>2</v>
      </c>
      <c r="J19" s="9" t="s">
        <v>3</v>
      </c>
      <c r="K19" s="10" t="s">
        <v>4</v>
      </c>
      <c r="L19" s="2"/>
      <c r="Q19" s="2"/>
    </row>
    <row r="20" spans="2:17" ht="27.5" thickBot="1" x14ac:dyDescent="0.4">
      <c r="B20" s="11" t="s">
        <v>5</v>
      </c>
      <c r="C20" s="11" t="s">
        <v>7</v>
      </c>
      <c r="D20" s="12">
        <v>500000</v>
      </c>
      <c r="E20" s="16">
        <v>4.7</v>
      </c>
      <c r="H20" s="11" t="s">
        <v>15</v>
      </c>
      <c r="I20" s="11" t="s">
        <v>7</v>
      </c>
      <c r="J20" s="12">
        <v>150000</v>
      </c>
      <c r="K20" s="16">
        <v>4.3</v>
      </c>
      <c r="L20" s="2"/>
      <c r="Q20" s="2"/>
    </row>
    <row r="21" spans="2:17" ht="41" thickBot="1" x14ac:dyDescent="0.4">
      <c r="B21" s="11" t="s">
        <v>8</v>
      </c>
      <c r="C21" s="11" t="s">
        <v>9</v>
      </c>
      <c r="D21" s="12">
        <v>300000</v>
      </c>
      <c r="E21" s="16">
        <v>4.5999999999999996</v>
      </c>
      <c r="H21" s="11" t="s">
        <v>17</v>
      </c>
      <c r="I21" s="11" t="s">
        <v>7</v>
      </c>
      <c r="J21" s="12">
        <v>200000</v>
      </c>
      <c r="K21" s="16">
        <v>4.5</v>
      </c>
      <c r="L21" s="2"/>
      <c r="Q21" s="2"/>
    </row>
    <row r="22" spans="2:17" ht="27.5" thickBot="1" x14ac:dyDescent="0.4">
      <c r="B22" s="11" t="s">
        <v>10</v>
      </c>
      <c r="C22" s="11" t="s">
        <v>7</v>
      </c>
      <c r="D22" s="12">
        <v>250000</v>
      </c>
      <c r="E22" s="16">
        <v>4.5</v>
      </c>
      <c r="H22" s="11" t="s">
        <v>18</v>
      </c>
      <c r="I22" s="11" t="s">
        <v>19</v>
      </c>
      <c r="J22" s="12">
        <v>100000</v>
      </c>
      <c r="K22" s="16">
        <v>4.8</v>
      </c>
    </row>
    <row r="23" spans="2:17" ht="68" thickBot="1" x14ac:dyDescent="0.4">
      <c r="B23" s="11" t="s">
        <v>11</v>
      </c>
      <c r="C23" s="11" t="s">
        <v>12</v>
      </c>
      <c r="D23" s="12">
        <v>400000</v>
      </c>
      <c r="E23" s="16">
        <v>4.8</v>
      </c>
      <c r="H23" s="11" t="s">
        <v>20</v>
      </c>
      <c r="I23" s="11" t="s">
        <v>7</v>
      </c>
      <c r="J23" s="12">
        <v>90000</v>
      </c>
      <c r="K23" s="16">
        <v>4.5999999999999996</v>
      </c>
    </row>
    <row r="24" spans="2:17" ht="27.5" thickBot="1" x14ac:dyDescent="0.4">
      <c r="B24" s="11" t="s">
        <v>13</v>
      </c>
      <c r="C24" s="11" t="s">
        <v>14</v>
      </c>
      <c r="D24" s="12">
        <v>350000</v>
      </c>
      <c r="E24" s="16">
        <v>4.5999999999999996</v>
      </c>
      <c r="H24" s="11" t="s">
        <v>21</v>
      </c>
      <c r="I24" s="11" t="s">
        <v>7</v>
      </c>
      <c r="J24" s="12">
        <v>120000</v>
      </c>
      <c r="K24" s="16">
        <v>4.2</v>
      </c>
    </row>
    <row r="25" spans="2:17" ht="15" thickBot="1" x14ac:dyDescent="0.4">
      <c r="B25" s="1"/>
      <c r="C25" s="7"/>
    </row>
    <row r="26" spans="2:17" ht="15" thickBot="1" x14ac:dyDescent="0.4">
      <c r="B26" s="1"/>
      <c r="C26" s="7"/>
    </row>
    <row r="27" spans="2:17" x14ac:dyDescent="0.35">
      <c r="B27" s="5"/>
    </row>
    <row r="28" spans="2:17" x14ac:dyDescent="0.35">
      <c r="B28" s="5"/>
    </row>
    <row r="29" spans="2:17" ht="409.5" x14ac:dyDescent="0.35">
      <c r="B29" s="8" t="s">
        <v>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A40C-332B-4AA9-A0F6-018E17F913BD}">
  <sheetPr codeName="Sheet3"/>
  <dimension ref="A3:H23"/>
  <sheetViews>
    <sheetView zoomScale="99" workbookViewId="0">
      <selection activeCell="D4" sqref="D4"/>
    </sheetView>
  </sheetViews>
  <sheetFormatPr defaultRowHeight="14.5" x14ac:dyDescent="0.35"/>
  <cols>
    <col min="1" max="1" width="23.6328125" bestFit="1" customWidth="1"/>
    <col min="2" max="2" width="23.90625" bestFit="1" customWidth="1"/>
    <col min="3" max="3" width="19.7265625" bestFit="1" customWidth="1"/>
    <col min="4" max="4" width="23.6328125" bestFit="1" customWidth="1"/>
    <col min="5" max="5" width="15" bestFit="1" customWidth="1"/>
    <col min="6" max="6" width="4.81640625" bestFit="1" customWidth="1"/>
    <col min="7" max="7" width="12.54296875" bestFit="1" customWidth="1"/>
    <col min="8" max="8" width="29.453125" bestFit="1" customWidth="1"/>
  </cols>
  <sheetData>
    <row r="3" spans="1:8" x14ac:dyDescent="0.35">
      <c r="A3" s="17" t="s">
        <v>36</v>
      </c>
      <c r="B3" t="s">
        <v>40</v>
      </c>
      <c r="D3" s="17" t="s">
        <v>36</v>
      </c>
      <c r="E3" t="s">
        <v>37</v>
      </c>
      <c r="G3" s="17" t="s">
        <v>39</v>
      </c>
      <c r="H3" t="s">
        <v>38</v>
      </c>
    </row>
    <row r="4" spans="1:8" x14ac:dyDescent="0.35">
      <c r="A4" s="18" t="s">
        <v>15</v>
      </c>
      <c r="B4">
        <v>150000</v>
      </c>
      <c r="D4" s="18" t="s">
        <v>15</v>
      </c>
      <c r="E4">
        <v>4.3</v>
      </c>
      <c r="G4" s="18" t="s">
        <v>14</v>
      </c>
      <c r="H4">
        <v>350000</v>
      </c>
    </row>
    <row r="5" spans="1:8" x14ac:dyDescent="0.35">
      <c r="A5" s="18" t="s">
        <v>21</v>
      </c>
      <c r="B5">
        <v>120000</v>
      </c>
      <c r="D5" s="18" t="s">
        <v>21</v>
      </c>
      <c r="E5">
        <v>4.2</v>
      </c>
      <c r="G5" s="18" t="s">
        <v>19</v>
      </c>
      <c r="H5">
        <v>100000</v>
      </c>
    </row>
    <row r="6" spans="1:8" x14ac:dyDescent="0.35">
      <c r="A6" s="18" t="s">
        <v>11</v>
      </c>
      <c r="B6">
        <v>400000</v>
      </c>
      <c r="D6" s="18" t="s">
        <v>11</v>
      </c>
      <c r="E6">
        <v>4.8</v>
      </c>
      <c r="G6" s="18" t="s">
        <v>12</v>
      </c>
      <c r="H6">
        <v>400000</v>
      </c>
    </row>
    <row r="7" spans="1:8" x14ac:dyDescent="0.35">
      <c r="A7" s="18" t="s">
        <v>10</v>
      </c>
      <c r="B7">
        <v>250000</v>
      </c>
      <c r="D7" s="18" t="s">
        <v>10</v>
      </c>
      <c r="E7">
        <v>4.5</v>
      </c>
      <c r="G7" s="18" t="s">
        <v>9</v>
      </c>
      <c r="H7">
        <v>300000</v>
      </c>
    </row>
    <row r="8" spans="1:8" x14ac:dyDescent="0.35">
      <c r="A8" s="18" t="s">
        <v>18</v>
      </c>
      <c r="B8">
        <v>100000</v>
      </c>
      <c r="D8" s="18" t="s">
        <v>18</v>
      </c>
      <c r="E8">
        <v>4.8</v>
      </c>
      <c r="G8" s="18" t="s">
        <v>7</v>
      </c>
      <c r="H8">
        <v>1200000</v>
      </c>
    </row>
    <row r="9" spans="1:8" x14ac:dyDescent="0.35">
      <c r="A9" s="18" t="s">
        <v>5</v>
      </c>
      <c r="B9">
        <v>500000</v>
      </c>
      <c r="D9" s="18" t="s">
        <v>5</v>
      </c>
      <c r="E9">
        <v>4.7</v>
      </c>
    </row>
    <row r="10" spans="1:8" x14ac:dyDescent="0.35">
      <c r="A10" s="18" t="s">
        <v>8</v>
      </c>
      <c r="B10">
        <v>300000</v>
      </c>
      <c r="D10" s="18" t="s">
        <v>8</v>
      </c>
      <c r="E10">
        <v>4.5999999999999996</v>
      </c>
    </row>
    <row r="11" spans="1:8" x14ac:dyDescent="0.35">
      <c r="A11" s="18" t="s">
        <v>17</v>
      </c>
      <c r="B11">
        <v>200000</v>
      </c>
      <c r="D11" s="18" t="s">
        <v>17</v>
      </c>
      <c r="E11">
        <v>4.5</v>
      </c>
    </row>
    <row r="12" spans="1:8" x14ac:dyDescent="0.35">
      <c r="A12" s="18" t="s">
        <v>20</v>
      </c>
      <c r="B12">
        <v>90000</v>
      </c>
      <c r="D12" s="18" t="s">
        <v>20</v>
      </c>
      <c r="E12">
        <v>4.5999999999999996</v>
      </c>
    </row>
    <row r="13" spans="1:8" x14ac:dyDescent="0.35">
      <c r="A13" s="18" t="s">
        <v>13</v>
      </c>
      <c r="B13">
        <v>350000</v>
      </c>
      <c r="D13" s="18" t="s">
        <v>13</v>
      </c>
      <c r="E13">
        <v>4.5999999999999996</v>
      </c>
    </row>
    <row r="14" spans="1:8" x14ac:dyDescent="0.35">
      <c r="B14">
        <f>MAX(B4:B13)</f>
        <v>500000</v>
      </c>
    </row>
    <row r="17" spans="1:5" x14ac:dyDescent="0.35">
      <c r="A17" s="17" t="s">
        <v>33</v>
      </c>
      <c r="B17" t="s">
        <v>35</v>
      </c>
      <c r="D17" s="17" t="s">
        <v>33</v>
      </c>
      <c r="E17" t="s">
        <v>35</v>
      </c>
    </row>
    <row r="18" spans="1:5" x14ac:dyDescent="0.35">
      <c r="A18" s="18" t="s">
        <v>5</v>
      </c>
      <c r="B18">
        <v>500000</v>
      </c>
      <c r="D18" s="18" t="s">
        <v>17</v>
      </c>
      <c r="E18">
        <v>200000</v>
      </c>
    </row>
    <row r="19" spans="1:5" x14ac:dyDescent="0.35">
      <c r="A19" s="18" t="s">
        <v>11</v>
      </c>
      <c r="B19">
        <v>400000</v>
      </c>
      <c r="D19" s="18" t="s">
        <v>15</v>
      </c>
      <c r="E19">
        <v>150000</v>
      </c>
    </row>
    <row r="20" spans="1:5" x14ac:dyDescent="0.35">
      <c r="A20" s="18" t="s">
        <v>13</v>
      </c>
      <c r="B20">
        <v>350000</v>
      </c>
      <c r="D20" s="18" t="s">
        <v>21</v>
      </c>
      <c r="E20">
        <v>120000</v>
      </c>
    </row>
    <row r="21" spans="1:5" x14ac:dyDescent="0.35">
      <c r="A21" s="18" t="s">
        <v>8</v>
      </c>
      <c r="B21">
        <v>300000</v>
      </c>
      <c r="D21" s="18" t="s">
        <v>18</v>
      </c>
      <c r="E21">
        <v>100000</v>
      </c>
    </row>
    <row r="22" spans="1:5" x14ac:dyDescent="0.35">
      <c r="A22" s="18" t="s">
        <v>10</v>
      </c>
      <c r="B22">
        <v>250000</v>
      </c>
      <c r="D22" s="18" t="s">
        <v>20</v>
      </c>
      <c r="E22">
        <v>90000</v>
      </c>
    </row>
    <row r="23" spans="1:5" x14ac:dyDescent="0.35">
      <c r="A23" s="19">
        <f>MAX(B18:B22)</f>
        <v>500000</v>
      </c>
      <c r="B23" s="19" t="s">
        <v>41</v>
      </c>
      <c r="D23" s="20" t="s">
        <v>42</v>
      </c>
      <c r="E23" s="21">
        <f>MAX(E18:E22)</f>
        <v>200000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F717A-E884-4CCF-80D9-78E91C9ABE37}">
  <sheetPr codeName="Sheet4"/>
  <dimension ref="A1"/>
  <sheetViews>
    <sheetView tabSelected="1" zoomScale="44" zoomScaleNormal="32" workbookViewId="0">
      <selection activeCell="AO18" sqref="AO18"/>
    </sheetView>
  </sheetViews>
  <sheetFormatPr defaultRowHeight="14.5" x14ac:dyDescent="0.35"/>
  <cols>
    <col min="1" max="1" width="12.36328125" bestFit="1" customWidth="1"/>
    <col min="2" max="2" width="28.7265625" bestFit="1"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7ACB3-B441-465F-8597-4087CA7D0CAF}">
  <dimension ref="B2:D6"/>
  <sheetViews>
    <sheetView showGridLines="0" workbookViewId="0">
      <selection activeCell="D11" sqref="D11"/>
    </sheetView>
  </sheetViews>
  <sheetFormatPr defaultRowHeight="14.5" x14ac:dyDescent="0.35"/>
  <cols>
    <col min="2" max="2" width="3.6328125" customWidth="1"/>
    <col min="3" max="3" width="17.54296875" bestFit="1" customWidth="1"/>
    <col min="4" max="4" width="24.54296875" bestFit="1" customWidth="1"/>
  </cols>
  <sheetData>
    <row r="2" spans="2:4" x14ac:dyDescent="0.35">
      <c r="B2" s="22" t="s">
        <v>48</v>
      </c>
    </row>
    <row r="4" spans="2:4" x14ac:dyDescent="0.35">
      <c r="C4" s="17" t="s">
        <v>50</v>
      </c>
      <c r="D4" t="s">
        <v>49</v>
      </c>
    </row>
    <row r="5" spans="2:4" x14ac:dyDescent="0.35">
      <c r="C5" t="s">
        <v>12</v>
      </c>
      <c r="D5" s="2">
        <v>400000</v>
      </c>
    </row>
    <row r="6" spans="2:4" x14ac:dyDescent="0.35">
      <c r="C6" t="s">
        <v>34</v>
      </c>
      <c r="D6" s="2">
        <v>400000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03E1B86B-160D-4A25-A673-4DD18313842D}">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90FD14E5-5D47-4C83-ABB7-D5726BE3C90F}">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Sheet8</vt:lpstr>
      <vt:lpstr>DATA</vt:lpstr>
      <vt:lpstr>ANALYSIS</vt:lpstr>
      <vt:lpstr>DASHBOARD</vt:lpstr>
      <vt:lpstr>Suggestion1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PERLA SURYA TEJA .</dc:creator>
  <cp:lastModifiedBy>surya teja</cp:lastModifiedBy>
  <dcterms:created xsi:type="dcterms:W3CDTF">2023-10-23T05:21:50Z</dcterms:created>
  <dcterms:modified xsi:type="dcterms:W3CDTF">2023-10-30T10:42:10Z</dcterms:modified>
</cp:coreProperties>
</file>